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3064a0fed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S" sheetId="18" r:id="Ra57b030b57a7486d"/>
    <x:sheet xmlns:r="http://schemas.openxmlformats.org/officeDocument/2006/relationships" name="Pivot" sheetId="19" r:id="R4af69cd611c04c00"/>
    <x:sheet xmlns:r="http://schemas.openxmlformats.org/officeDocument/2006/relationships" name="LM Kassa" sheetId="12" r:id="Rf115a1efe3da4471"/>
    <x:sheet xmlns:r="http://schemas.openxmlformats.org/officeDocument/2006/relationships" name="LM Savdo" sheetId="11" r:id="R7ed7f47e730f42fd"/>
    <x:sheet xmlns:r="http://schemas.openxmlformats.org/officeDocument/2006/relationships" name="KASSA SOF" sheetId="6" r:id="R2fce403b9ebf4361"/>
    <x:sheet xmlns:r="http://schemas.openxmlformats.org/officeDocument/2006/relationships" name="SAVDO SOF" sheetId="13" r:id="Rba1839c9d9cd4c86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<x:sst xmlns:x="http://schemas.openxmlformats.org/spreadsheetml/2006/main">
  <x:si>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Сводная таблица (UZS)</x:t>
  </x:si>
  <x:si>
    <x:t xml:space="preserve">Код агента</x:t>
  </x:si>
  <x:si>
    <x:t xml:space="preserve">ИТОГО Сумма Сумма оплаты</x:t>
  </x:si>
  <x:si>
    <x:t xml:space="preserve">Бренд</x:t>
  </x:si>
  <x:si>
    <x:t xml:space="preserve">Показатель</x:t>
  </x:si>
  <x:si>
    <x:t xml:space="preserve">JYBX002</x:t>
  </x:si>
  <x:si>
    <x:t xml:space="preserve">MAMA</x:t>
  </x:si>
  <x:si>
    <x:t xml:space="preserve">7</x:t>
  </x:si>
  <x:si>
    <x:t xml:space="preserve">SOF</x:t>
  </x:si>
  <x:si>
    <x:t xml:space="preserve">Totals</x:t>
  </x:si>
  <x:si>
    <x:t xml:space="preserve">JYBX003</x:t>
  </x:si>
  <x:si>
    <x:t xml:space="preserve">Филиал</x:t>
  </x:si>
  <x:si>
    <x:t xml:space="preserve">Naqd</x:t>
  </x:si>
  <x:si>
    <x:t xml:space="preserve">Perechileniye</x:t>
  </x:si>
  <x:si>
    <x:t xml:space="preserve">Terminal</x:t>
  </x:si>
  <x:si>
    <x:t xml:space="preserve">Total Sum of Сумма_число</x:t>
  </x:si>
  <x:si>
    <x:t xml:space="preserve">JYBX004</x:t>
  </x:si>
  <x:si>
    <x:t xml:space="preserve">Andijon</x:t>
  </x:si>
  <x:si>
    <x:t xml:space="preserve">JYFA002</x:t>
  </x:si>
  <x:si>
    <x:t xml:space="preserve">Buxoro</x:t>
  </x:si>
  <x:si>
    <x:t xml:space="preserve">JYFA004</x:t>
  </x:si>
  <x:si>
    <x:t xml:space="preserve">Denov</x:t>
  </x:si>
  <x:si>
    <x:t xml:space="preserve">JYJZ002</x:t>
  </x:si>
  <x:si>
    <x:t xml:space="preserve">Fargona</x:t>
  </x:si>
  <x:si>
    <x:t xml:space="preserve">JYNM003</x:t>
  </x:si>
  <x:si>
    <x:t xml:space="preserve">Guliston</x:t>
  </x:si>
  <x:si>
    <x:t xml:space="preserve">JYNM004</x:t>
  </x:si>
  <x:si>
    <x:t xml:space="preserve">Kattaqorgon</x:t>
  </x:si>
  <x:si>
    <x:t xml:space="preserve">JYNM005</x:t>
  </x:si>
  <x:si>
    <x:t xml:space="preserve">Namangan</x:t>
  </x:si>
  <x:si>
    <x:t xml:space="preserve">JYNM006</x:t>
  </x:si>
  <x:si>
    <x:t xml:space="preserve">Navoiy</x:t>
  </x:si>
  <x:si>
    <x:t xml:space="preserve">JYNS002</x:t>
  </x:si>
  <x:si>
    <x:t xml:space="preserve">Nukus</x:t>
  </x:si>
  <x:si>
    <x:t xml:space="preserve">JYNS003</x:t>
  </x:si>
  <x:si>
    <x:t xml:space="preserve">Olmaliq</x:t>
  </x:si>
  <x:si>
    <x:t xml:space="preserve">JYNS004</x:t>
  </x:si>
  <x:si>
    <x:t xml:space="preserve">Qarshi</x:t>
  </x:si>
  <x:si>
    <x:t xml:space="preserve">JYNS005</x:t>
  </x:si>
  <x:si>
    <x:t xml:space="preserve">Qoqon</x:t>
  </x:si>
  <x:si>
    <x:t xml:space="preserve">JYNV002</x:t>
  </x:si>
  <x:si>
    <x:t xml:space="preserve">Samarqand</x:t>
  </x:si>
  <x:si>
    <x:t xml:space="preserve">JYNV003</x:t>
  </x:si>
  <x:si>
    <x:t xml:space="preserve">Sergeli</x:t>
  </x:si>
  <x:si>
    <x:t xml:space="preserve">JYNV005</x:t>
  </x:si>
  <x:si>
    <x:t xml:space="preserve">Shaxrisabz</x:t>
  </x:si>
  <x:si>
    <x:t xml:space="preserve">JYQQ008</x:t>
  </x:si>
  <x:si>
    <x:t xml:space="preserve">Termiz</x:t>
  </x:si>
  <x:si>
    <x:t xml:space="preserve">JYQSH005</x:t>
  </x:si>
  <x:si>
    <x:t xml:space="preserve">Xorazm</x:t>
  </x:si>
  <x:si>
    <x:t xml:space="preserve">JYQSH006</x:t>
  </x:si>
  <x:si>
    <x:t xml:space="preserve">Yunusobod</x:t>
  </x:si>
  <x:si>
    <x:t xml:space="preserve">JYSAM003</x:t>
  </x:si>
  <x:si>
    <x:t xml:space="preserve">Zarafshon</x:t>
  </x:si>
  <x:si>
    <x:t xml:space="preserve">JYSAM004</x:t>
  </x:si>
  <x:si>
    <x:t xml:space="preserve">Grand Total</x:t>
  </x:si>
  <x:si>
    <x:t xml:space="preserve">JYSAM005</x:t>
  </x:si>
  <x:si>
    <x:t xml:space="preserve">JYSAM006</x:t>
  </x:si>
  <x:si>
    <x:t xml:space="preserve">JYSAM007</x:t>
  </x:si>
  <x:si>
    <x:t xml:space="preserve">JYSAM008</x:t>
  </x:si>
  <x:si>
    <x:t xml:space="preserve">JYTO002</x:t>
  </x:si>
  <x:si>
    <x:t xml:space="preserve">JYTO005</x:t>
  </x:si>
  <x:si>
    <x:t xml:space="preserve">JYTSH004</x:t>
  </x:si>
  <x:si>
    <x:t xml:space="preserve">JYTSH005</x:t>
  </x:si>
  <x:si>
    <x:t xml:space="preserve">JYTZ006</x:t>
  </x:si>
  <x:si>
    <x:t xml:space="preserve">JYTZ007</x:t>
  </x:si>
  <x:si>
    <x:t xml:space="preserve">JYXM002</x:t>
  </x:si>
  <x:si>
    <x:t xml:space="preserve">JYXM003</x:t>
  </x:si>
  <x:si>
    <x:t xml:space="preserve">JYXM004</x:t>
  </x:si>
  <x:si>
    <x:t xml:space="preserve">JYXM005</x:t>
  </x:si>
  <x:si>
    <x:t xml:space="preserve">JYXM006</x:t>
  </x:si>
  <x:si>
    <x:t xml:space="preserve">JYXM007</x:t>
  </x:si>
  <x:si>
    <x:t xml:space="preserve">LMJAN09</x:t>
  </x:si>
  <x:si>
    <x:t xml:space="preserve">LMJBX01</x:t>
  </x:si>
  <x:si>
    <x:t xml:space="preserve">LMJBX02</x:t>
  </x:si>
  <x:si>
    <x:t xml:space="preserve">LMJBX03</x:t>
  </x:si>
  <x:si>
    <x:t xml:space="preserve">LMJBX04</x:t>
  </x:si>
  <x:si>
    <x:t xml:space="preserve">LMJFA02</x:t>
  </x:si>
  <x:si>
    <x:t xml:space="preserve">LMJFA05</x:t>
  </x:si>
  <x:si>
    <x:t xml:space="preserve">LMJGL01</x:t>
  </x:si>
  <x:si>
    <x:t xml:space="preserve">LMJGL02</x:t>
  </x:si>
  <x:si>
    <x:t xml:space="preserve">LMJISM02</x:t>
  </x:si>
  <x:si>
    <x:t xml:space="preserve">LMJISM03</x:t>
  </x:si>
  <x:si>
    <x:t xml:space="preserve">LMJISM04</x:t>
  </x:si>
  <x:si>
    <x:t xml:space="preserve">LMJISM05</x:t>
  </x:si>
  <x:si>
    <x:t xml:space="preserve">LMJISM06</x:t>
  </x:si>
  <x:si>
    <x:t xml:space="preserve">LMJISM07</x:t>
  </x:si>
  <x:si>
    <x:t xml:space="preserve">LMJISM08</x:t>
  </x:si>
  <x:si>
    <x:t xml:space="preserve">LMJJZ01</x:t>
  </x:si>
  <x:si>
    <x:t xml:space="preserve">LMJJZ02</x:t>
  </x:si>
  <x:si>
    <x:t xml:space="preserve">LMJJZ03</x:t>
  </x:si>
  <x:si>
    <x:t xml:space="preserve">LMJNK01</x:t>
  </x:si>
  <x:si>
    <x:t xml:space="preserve">LMJNK02</x:t>
  </x:si>
  <x:si>
    <x:t xml:space="preserve">LMJNK03</x:t>
  </x:si>
  <x:si>
    <x:t xml:space="preserve">LMJNM01</x:t>
  </x:si>
  <x:si>
    <x:t xml:space="preserve">LMJNM03</x:t>
  </x:si>
  <x:si>
    <x:t xml:space="preserve">LMJNM04</x:t>
  </x:si>
  <x:si>
    <x:t xml:space="preserve">LMJNM07</x:t>
  </x:si>
  <x:si>
    <x:t xml:space="preserve">LMJNV01</x:t>
  </x:si>
  <x:si>
    <x:t xml:space="preserve">LMJNV02</x:t>
  </x:si>
  <x:si>
    <x:t xml:space="preserve">LMJNV03</x:t>
  </x:si>
  <x:si>
    <x:t xml:space="preserve">LMJNV04</x:t>
  </x:si>
  <x:si>
    <x:t xml:space="preserve">LMJOPT003</x:t>
  </x:si>
  <x:si>
    <x:t xml:space="preserve">LMJQQ02</x:t>
  </x:si>
  <x:si>
    <x:t xml:space="preserve">LMJQQ05</x:t>
  </x:si>
  <x:si>
    <x:t xml:space="preserve">LMJQQ06</x:t>
  </x:si>
  <x:si>
    <x:t xml:space="preserve">LMJQQ07</x:t>
  </x:si>
  <x:si>
    <x:t xml:space="preserve">LMJQR03</x:t>
  </x:si>
  <x:si>
    <x:t xml:space="preserve">LMJTO01</x:t>
  </x:si>
  <x:si>
    <x:t xml:space="preserve">LMJTO04</x:t>
  </x:si>
  <x:si>
    <x:t xml:space="preserve">LMJTO06</x:t>
  </x:si>
  <x:si>
    <x:t xml:space="preserve">LMJTO07</x:t>
  </x:si>
  <x:si>
    <x:t xml:space="preserve">LMJTO08</x:t>
  </x:si>
  <x:si>
    <x:t xml:space="preserve">LMJTO09</x:t>
  </x:si>
  <x:si>
    <x:t xml:space="preserve">LMJTO11</x:t>
  </x:si>
  <x:si>
    <x:t xml:space="preserve">LMJTO12</x:t>
  </x:si>
  <x:si>
    <x:t xml:space="preserve">LMJTSH01</x:t>
  </x:si>
  <x:si>
    <x:t xml:space="preserve">LMJTSH02</x:t>
  </x:si>
  <x:si>
    <x:t xml:space="preserve">LMJTSH03</x:t>
  </x:si>
  <x:si>
    <x:t xml:space="preserve">LMJTSH04</x:t>
  </x:si>
  <x:si>
    <x:t xml:space="preserve">LMJTSH05</x:t>
  </x:si>
  <x:si>
    <x:t xml:space="preserve">LMJTSH10</x:t>
  </x:si>
  <x:si>
    <x:t xml:space="preserve">LMJTSH11</x:t>
  </x:si>
  <x:si>
    <x:t xml:space="preserve">LMJTZ02</x:t>
  </x:si>
  <x:si>
    <x:t xml:space="preserve">LMJTZ03</x:t>
  </x:si>
  <x:si>
    <x:t xml:space="preserve">LMJXR01</x:t>
  </x:si>
  <x:si>
    <x:t xml:space="preserve">LMJXR02</x:t>
  </x:si>
  <x:si>
    <x:t xml:space="preserve">LMJXR03</x:t>
  </x:si>
  <x:si>
    <x:t xml:space="preserve">LMJXR04</x:t>
  </x:si>
  <x:si>
    <x:t xml:space="preserve">LMJXR05</x:t>
  </x:si>
  <x:si>
    <x:t xml:space="preserve">MAMAИТОГО Сумма СуммаMAMAНет</x:t>
  </x:si>
  <x:si>
    <x:t xml:space="preserve">Направление торговли</x:t>
  </x:si>
  <x:si>
    <x:t xml:space="preserve">Консигнация</x:t>
  </x:si>
  <x:si>
    <x:t xml:space="preserve">Категория товара</x:t>
  </x:si>
  <x:si>
    <x:t xml:space="preserve">ИТОГО Сумма Количество</x:t>
  </x:si>
  <x:si>
    <x:t xml:space="preserve">ИТОГО Сумма Сумма</x:t>
  </x:si>
  <x:si>
    <x:t xml:space="preserve">Подитоги:</x:t>
  </x:si>
  <x:si>
    <x:t xml:space="preserve">Да</x:t>
  </x:si>
  <x:si>
    <x:t xml:space="preserve">Нет</x:t>
  </x:si>
  <x:si>
    <x:t xml:space="preserve">Склад</x:t>
  </x:si>
  <x:si>
    <x:t xml:space="preserve">DRY (Qo'ltiq qistirma)</x:t>
  </x:si>
  <x:si>
    <x:t xml:space="preserve">Ejednevka</x:t>
  </x:si>
  <x:si>
    <x:t xml:space="preserve">Grudnoy</x:t>
  </x:si>
  <x:si>
    <x:t xml:space="preserve">Kattalar tagligi (mini)</x:t>
  </x:si>
  <x:si>
    <x:t xml:space="preserve">Maska</x:t>
  </x:si>
  <x:si>
    <x:t xml:space="preserve">Paket</x:t>
  </x:si>
  <x:si>
    <x:t xml:space="preserve">Polka</x:t>
  </x:si>
  <x:si>
    <x:t xml:space="preserve">Poslerodovoy</x:t>
  </x:si>
  <x:si>
    <x:t xml:space="preserve">Prokladki</x:t>
  </x:si>
  <x:si>
    <x:t xml:space="preserve">Reverem (banochniy)</x:t>
  </x:si>
  <x:si>
    <x:t xml:space="preserve">Yoyoki lipuchka</x:t>
  </x:si>
  <x:si>
    <x:t xml:space="preserve">Yoyoki trusik</x:t>
  </x:si>
  <x:si>
    <x:t xml:space="preserve">Roddom sovg'a</x:t>
  </x:si>
  <x:si>
    <x:t xml:space="preserve">Kattalar tagligi (max)</x:t>
  </x:si>
  <x:si>
    <x:t xml:space="preserve">Lalaku Devochka</x:t>
  </x:si>
  <x:si>
    <x:t xml:space="preserve">Lalaku Malchik</x:t>
  </x:si>
  <x:si>
    <x:t xml:space="preserve">Sof trusik</x:t>
  </x:si>
  <x:si>
    <x:t xml:space="preserve">Andijon SKLAD</x:t>
  </x:si>
  <x:si>
    <x:t xml:space="preserve">Buxoro SKLAD</x:t>
  </x:si>
  <x:si>
    <x:t xml:space="preserve">Denov SKLAD</x:t>
  </x:si>
  <x:si>
    <x:t xml:space="preserve">Farg'ona SKLAD</x:t>
  </x:si>
  <x:si>
    <x:t xml:space="preserve">Guliston SKLAD</x:t>
  </x:si>
  <x:si>
    <x:t xml:space="preserve">Jizzax SKLAD</x:t>
  </x:si>
  <x:si>
    <x:t xml:space="preserve">Kattaqo'rgon SKLAD</x:t>
  </x:si>
  <x:si>
    <x:t xml:space="preserve">Namangan SKLAD</x:t>
  </x:si>
  <x:si>
    <x:t xml:space="preserve">Navoiy SKLAD</x:t>
  </x:si>
  <x:si>
    <x:t xml:space="preserve">Nukus Sklad</x:t>
  </x:si>
  <x:si>
    <x:t xml:space="preserve">Olmaliq sklad</x:t>
  </x:si>
  <x:si>
    <x:t xml:space="preserve">Qarshi Sklad</x:t>
  </x:si>
  <x:si>
    <x:t xml:space="preserve">Qoqon SKLAD</x:t>
  </x:si>
  <x:si>
    <x:t xml:space="preserve">Samarqand SKLAD</x:t>
  </x:si>
  <x:si>
    <x:t xml:space="preserve">Sergeli sklad</x:t>
  </x:si>
  <x:si>
    <x:t xml:space="preserve">Shaxrisabz Sklad</x:t>
  </x:si>
  <x:si>
    <x:t xml:space="preserve">Termiz SKLAD</x:t>
  </x:si>
  <x:si>
    <x:t xml:space="preserve">Xorazm SKLAD</x:t>
  </x:si>
  <x:si>
    <x:t xml:space="preserve">Yunusobod SKLAD</x:t>
  </x:si>
  <x:si>
    <x:t xml:space="preserve">Zarafshon LLK</x:t>
  </x:si>
  <x:si>
    <x:t xml:space="preserve">ИТОГО:</x:t>
  </x:si>
  <x:si>
    <x:t xml:space="preserve">C:\Users\User\Desktop\LM PLAN.xlsx</x:t>
  </x:si>
  <x:si>
    <x:t xml:space="preserve">LALAKU MAMA</x:t>
  </x:si>
  <x:si>
    <x:t xml:space="preserve">№</x:t>
  </x:si>
  <x:si>
    <x:t xml:space="preserve">FILIAL</x:t>
  </x:si>
  <x:si>
    <x:t xml:space="preserve">KIRIM KASSA </x:t>
  </x:si>
  <x:si>
    <x:t xml:space="preserve">NAQT SAVDO</x:t>
  </x:si>
  <x:si>
    <x:t xml:space="preserve">PROGRAMMA</x:t>
  </x:si>
  <x:si>
    <x:t xml:space="preserve">FARQ</x:t>
  </x:si>
  <x:si>
    <x:t xml:space="preserve">QARZDORLIK</x:t>
  </x:si>
  <x:si>
    <x:t xml:space="preserve">LMJAN01</x:t>
  </x:si>
  <x:si>
    <x:t xml:space="preserve">LMJAN02</x:t>
  </x:si>
  <x:si>
    <x:t xml:space="preserve">Farg'ona</x:t>
  </x:si>
  <x:si>
    <x:t xml:space="preserve">LMJAN03</x:t>
  </x:si>
  <x:si>
    <x:t xml:space="preserve">Qoqon </x:t>
  </x:si>
  <x:si>
    <x:t xml:space="preserve">LMJAN04</x:t>
  </x:si>
  <x:si>
    <x:t xml:space="preserve">LMJAN05</x:t>
  </x:si>
  <x:si>
    <x:t xml:space="preserve">LMJAN06</x:t>
  </x:si>
  <x:si>
    <x:t xml:space="preserve">LMJAN07</x:t>
  </x:si>
  <x:si>
    <x:t xml:space="preserve">Jizzax</x:t>
  </x:si>
  <x:si>
    <x:t xml:space="preserve">LMJAN08</x:t>
  </x:si>
  <x:si>
    <x:t xml:space="preserve">LMJAN10</x:t>
  </x:si>
  <x:si>
    <x:t xml:space="preserve">Kattaqo'rgon</x:t>
  </x:si>
  <x:si>
    <x:t xml:space="preserve">LMJFA01</x:t>
  </x:si>
  <x:si>
    <x:t xml:space="preserve">LMJFA03</x:t>
  </x:si>
  <x:si>
    <x:t xml:space="preserve">LMJFA04</x:t>
  </x:si>
  <x:si>
    <x:t xml:space="preserve">LMJFA06</x:t>
  </x:si>
  <x:si>
    <x:t xml:space="preserve">LMJFA07</x:t>
  </x:si>
  <x:si>
    <x:t xml:space="preserve">LMJFA08</x:t>
  </x:si>
  <x:si>
    <x:t xml:space="preserve">LMJFA09</x:t>
  </x:si>
  <x:si>
    <x:t xml:space="preserve">LMJFA10</x:t>
  </x:si>
  <x:si>
    <x:t xml:space="preserve">LMJISH01</x:t>
  </x:si>
  <x:si>
    <x:t xml:space="preserve">LMJISH02</x:t>
  </x:si>
  <x:si>
    <x:t xml:space="preserve">LMJISH03</x:t>
  </x:si>
  <x:si>
    <x:t xml:space="preserve">LMJISM01</x:t>
  </x:si>
  <x:si>
    <x:t xml:space="preserve">LMJNK04</x:t>
  </x:si>
  <x:si>
    <x:t xml:space="preserve">LMJNM02</x:t>
  </x:si>
  <x:si>
    <x:t xml:space="preserve">LMJNM05</x:t>
  </x:si>
  <x:si>
    <x:t xml:space="preserve">LMJNM06</x:t>
  </x:si>
  <x:si>
    <x:t xml:space="preserve">LMJNM08</x:t>
  </x:si>
  <x:si>
    <x:t xml:space="preserve">LMJNV05</x:t>
  </x:si>
  <x:si>
    <x:t xml:space="preserve">LMJQQ01</x:t>
  </x:si>
  <x:si>
    <x:t xml:space="preserve">LMJQQ03</x:t>
  </x:si>
  <x:si>
    <x:t xml:space="preserve">LMJQQ04</x:t>
  </x:si>
  <x:si>
    <x:t xml:space="preserve">LMJQR01</x:t>
  </x:si>
  <x:si>
    <x:t xml:space="preserve">LMJQR02</x:t>
  </x:si>
  <x:si>
    <x:t xml:space="preserve">LMJQR04</x:t>
  </x:si>
  <x:si>
    <x:t xml:space="preserve">LMJTO02</x:t>
  </x:si>
  <x:si>
    <x:t xml:space="preserve">LMJTO03</x:t>
  </x:si>
  <x:si>
    <x:t xml:space="preserve">LMJTO05</x:t>
  </x:si>
  <x:si>
    <x:t xml:space="preserve">LMJTO10</x:t>
  </x:si>
  <x:si>
    <x:t xml:space="preserve">LMJTSH06</x:t>
  </x:si>
  <x:si>
    <x:t xml:space="preserve">LMJTSH07</x:t>
  </x:si>
  <x:si>
    <x:t xml:space="preserve">LMJTSH08</x:t>
  </x:si>
  <x:si>
    <x:t xml:space="preserve">LMJTSH09</x:t>
  </x:si>
  <x:si>
    <x:t xml:space="preserve">LMJTZ01</x:t>
  </x:si>
  <x:si>
    <x:t xml:space="preserve">LMJTZ04</x:t>
  </x:si>
  <x:si>
    <x:t xml:space="preserve">LMJTZ05</x:t>
  </x:si>
  <x:si>
    <x:t xml:space="preserve">LMJOPT002</x:t>
  </x:si>
  <x:si>
    <x:t xml:space="preserve">LMJTOP001</x:t>
  </x:si>
  <x:si>
    <x:t xml:space="preserve">LMJXR06</x:t>
  </x:si>
  <x:si>
    <x:t xml:space="preserve">ИТОГО Сумма СуммаMAMAДаMaska</x:t>
  </x:si>
  <x:si>
    <x:t xml:space="preserve">ИТОГО Сумма СуммаMAMAДаRoddom sovg'a</x:t>
  </x:si>
  <x:si>
    <x:t xml:space="preserve">ИТОГО Сумма СуммаMAMAНетMaska</x:t>
  </x:si>
  <x:si>
    <x:t xml:space="preserve">ИТОГО Сумма СуммаMAMAНетRoddom sovg'a</x:t>
  </x:si>
  <x:si>
    <x:t xml:space="preserve">SAVDO</x:t>
  </x:si>
  <x:si>
    <x:t xml:space="preserve">KIRIM </x:t>
  </x:si>
  <x:si>
    <x:t xml:space="preserve"> </x:t>
  </x:si>
  <x:si>
    <x:t xml:space="preserve">Filial nomi</x:t>
  </x:si>
  <x:si>
    <x:t xml:space="preserve">Savdo</x:t>
  </x:si>
  <x:si>
    <x:t xml:space="preserve">Qarshi SKLAD</x:t>
  </x:si>
  <x:si>
    <x:t xml:space="preserve">FILIAL NOMI</x:t>
  </x:si>
  <x:si>
    <x:t xml:space="preserve">Salfetka (vlajniy)</x:t>
  </x:si>
  <x:si>
    <x:t xml:space="preserve">Paket (Aygen model)</x:t>
  </x:si>
  <x:si>
    <x:t xml:space="preserve">Naqt </x:t>
  </x:si>
  <x:si>
    <x:t xml:space="preserve">Nasiya</x:t>
  </x:si>
  <x:si>
    <x:t xml:space="preserve">SOF </x:t>
  </x:si>
  <x:si>
    <x:t xml:space="preserve">JYAN004</x:t>
  </x:si>
  <x:si>
    <x:t xml:space="preserve">JYAN005</x:t>
  </x:si>
  <x:si>
    <x:t xml:space="preserve">JYAN006</x:t>
  </x:si>
  <x:si>
    <x:t xml:space="preserve">JYAN007</x:t>
  </x:si>
  <x:si>
    <x:t xml:space="preserve">JYAN008</x:t>
  </x:si>
  <x:si>
    <x:t xml:space="preserve">JYAN101</x:t>
  </x:si>
  <x:si>
    <x:t xml:space="preserve">JYAN102</x:t>
  </x:si>
  <x:si>
    <x:t xml:space="preserve">JYAN103</x:t>
  </x:si>
  <x:si>
    <x:t xml:space="preserve">JYAN105</x:t>
  </x:si>
  <x:si>
    <x:t xml:space="preserve">JYAN106</x:t>
  </x:si>
  <x:si>
    <x:t xml:space="preserve">JYBX005</x:t>
  </x:si>
  <x:si>
    <x:t xml:space="preserve">JYFA003</x:t>
  </x:si>
  <x:si>
    <x:t xml:space="preserve">JYFA005</x:t>
  </x:si>
  <x:si>
    <x:t xml:space="preserve">JYNM002</x:t>
  </x:si>
  <x:si>
    <x:t xml:space="preserve">JYNM007</x:t>
  </x:si>
  <x:si>
    <x:t xml:space="preserve">JYNV007</x:t>
  </x:si>
  <x:si>
    <x:t xml:space="preserve">JYNV004</x:t>
  </x:si>
  <x:si>
    <x:t xml:space="preserve">JYQQ003</x:t>
  </x:si>
  <x:si>
    <x:t xml:space="preserve">JYQQ004</x:t>
  </x:si>
  <x:si>
    <x:t xml:space="preserve">JYQQ005</x:t>
  </x:si>
  <x:si>
    <x:t xml:space="preserve">JYQQ006</x:t>
  </x:si>
  <x:si>
    <x:t xml:space="preserve">JYQQ007</x:t>
  </x:si>
  <x:si>
    <x:t xml:space="preserve">JYQSH003</x:t>
  </x:si>
  <x:si>
    <x:t xml:space="preserve">JYQSH004</x:t>
  </x:si>
  <x:si>
    <x:t xml:space="preserve">JYTO003</x:t>
  </x:si>
  <x:si>
    <x:t xml:space="preserve">JYTO004</x:t>
  </x:si>
  <x:si>
    <x:t xml:space="preserve">JYTSH002</x:t>
  </x:si>
  <x:si>
    <x:t xml:space="preserve">JYTSH003</x:t>
  </x:si>
  <x:si>
    <x:t xml:space="preserve">JYTZ004</x:t>
  </x:si>
  <x:si>
    <x:t xml:space="preserve">JYTZ005</x:t>
  </x:si>
  <x:si>
    <x:t xml:space="preserve">JYTZ008</x:t>
  </x:si>
  <x:si>
    <x:t xml:space="preserve">JYTZ009</x:t>
  </x:si>
  <x:si>
    <x:t xml:space="preserve">JYJZ003</x:t>
  </x:si>
  <x:si>
    <x:t xml:space="preserve">JYJZ004</x:t>
  </x:si>
  <x:si>
    <x:t xml:space="preserve">JYGL002</x:t>
  </x:si>
  <x:si>
    <x:t xml:space="preserve">JYGL003</x:t>
  </x:si>
  <x:si>
    <x:t xml:space="preserve">JYGL004</x:t>
  </x:si>
  <x:si>
    <x:t xml:space="preserve">ИТОГО Сумма КоличествоSOFДаMaska</x:t>
  </x:si>
  <x:si>
    <x:t xml:space="preserve">ИТОГО Сумма КоличествоSOFДаRoddom sovg'a</x:t>
  </x:si>
  <x:si>
    <x:t xml:space="preserve">ИТОГО Сумма КоличествоSOFНетMaska</x:t>
  </x:si>
  <x:si>
    <x:t xml:space="preserve">SOFИТОГО Сумма СуммаSOFНет</x:t>
  </x:si>
  <x:si>
    <x:t xml:space="preserve">ИТОГО Сумма КоличествоMAMAНетRoddom sovg'a</x:t>
  </x:si>
  <x:si>
    <x:t xml:space="preserve">KIRIM</x:t>
  </x:si>
  <x:si>
    <x:t xml:space="preserve">`</x:t>
  </x:si>
  <x:si>
    <x:t xml:space="preserve">SOFИТОГО Сумма КоличествоSOFНет</x:t>
  </x:si>
  <x:si>
    <x:t xml:space="preserve">2-SORT</x:t>
  </x:si>
</x:sst>
</file>

<file path=xl/styles.xml><?xml version="1.0" encoding="utf-8"?>
<x:styleSheet xmlns:x="http://schemas.openxmlformats.org/spreadsheetml/2006/main">
  <x:numFmts count="6">
    <x:numFmt numFmtId="44" formatCode="_-* #,##0.00\ &quot;₽&quot;_-;\-* #,##0.00\ &quot;₽&quot;_-;_-* &quot;-&quot;??\ &quot;₽&quot;_-;_-@_-"/>
    <x:numFmt numFmtId="43" formatCode="_-* #,##0.00_-;\-* #,##0.00_-;_-* &quot;-&quot;??_-;_-@_-"/>
    <x:numFmt numFmtId="164" formatCode="_-* #,##0_-;\-* #,##0_-;_-* &quot;-&quot;??_-;_-@_-"/>
    <x:numFmt numFmtId="165" formatCode="_-* #,##0\ _₽_-;\-* #,##0\ _₽_-;_-* &quot;-&quot;??\ _₽_-;_-@_-"/>
    <x:numFmt numFmtId="166" formatCode="_-* #,##0.00\ _₽_-;\-* #,##0.00\ _₽_-;_-* &quot;-&quot;??\ _₽_-;_-@_-"/>
    <x:numFmt numFmtId="167" formatCode="_-* #,##0.0_-;\-* #,##0.0_-;_-* &quot;-&quot;??_-;_-@_-"/>
  </x:numFmts>
  <x:fonts count="72">
    <x:font>
      <x:sz val="11"/>
      <x:color theme="1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name val="Calibri"/>
    </x:font>
    <x:font>
      <x:sz val="12"/>
      <x:name val="Calibri"/>
    </x:font>
    <x:font>
      <x:sz val="11"/>
      <x:name val="Calibri"/>
    </x:font>
    <x:font>
      <x:b/>
      <x:sz val="12"/>
      <x:name val="Calibri"/>
    </x:font>
    <x:font>
      <x:sz val="8"/>
      <x:color theme="1"/>
      <x:name val="Calibri"/>
    </x:font>
    <x:font>
      <x:b/>
      <x:sz val="20"/>
      <x:color theme="1"/>
      <x:name val="Calibri"/>
    </x:font>
    <x:font>
      <x:b/>
      <x:sz val="20"/>
      <x:name val="Calibri"/>
    </x:font>
    <x:font>
      <x:sz val="8"/>
      <x:name val="Calibri"/>
    </x:font>
    <x:font>
      <x:sz val="11"/>
      <x:name val="Calibri"/>
    </x:font>
    <x:font>
      <x:b/>
      <x:sz val="14"/>
      <x:name val="Calibri"/>
    </x:font>
    <x:font>
      <x:sz val="30"/>
      <x:color theme="0"/>
      <x:name val="Calibri"/>
    </x:font>
    <x:font>
      <x:sz val="11"/>
      <x:color indexed="8"/>
      <x:name val="Calibri"/>
    </x:font>
    <x:font>
      <x:b/>
      <x:sz val="11"/>
      <x:color theme="1"/>
      <x:name val="Calibri"/>
    </x:font>
    <x:font>
      <x:sz val="8"/>
      <x:name val="Calibri"/>
    </x:font>
    <x:font>
      <x:sz val="11"/>
      <x:color theme="0"/>
      <x:name val="Calibri"/>
    </x:font>
    <x:font>
      <x:sz val="20"/>
      <x:name val="Calibri"/>
    </x:font>
    <x:font>
      <x:i/>
      <x:sz val="20"/>
      <x:name val="Calibri"/>
    </x:font>
    <x:font>
      <x:sz val="20"/>
      <x:color theme="0"/>
      <x:name val="Calibri"/>
    </x:font>
    <x:font>
      <x:b/>
      <x:sz val="25"/>
      <x:name val="Calibri"/>
    </x:font>
    <x:font>
      <x:sz val="25"/>
      <x:name val="Calibri"/>
    </x:font>
    <x:font>
      <x:i/>
      <x:sz val="25"/>
      <x:name val="Calibri"/>
    </x:font>
    <x:font>
      <x:sz val="20"/>
      <x:color theme="1"/>
      <x:name val="Calibri"/>
    </x:font>
    <x:font>
      <x:b/>
      <x:i/>
      <x:sz val="20"/>
      <x:color theme="1"/>
      <x:name val="Calibri"/>
    </x:font>
    <x:font>
      <x:b/>
      <x:sz val="40"/>
      <x:color theme="1"/>
      <x:name val="Calibri"/>
    </x:font>
    <x:font>
      <x:b/>
      <x:sz val="25"/>
      <x:color theme="1"/>
      <x:name val="Calibri"/>
    </x:font>
    <x:font>
      <x:b/>
      <x:sz val="14"/>
      <x:color theme="0"/>
      <x:name val="Calibri"/>
    </x:font>
    <x:font>
      <x:sz val="20"/>
      <x:color theme="0"/>
      <x:name val="Calibri"/>
    </x:font>
    <x:font>
      <x:sz val="20"/>
      <x:color theme="1"/>
      <x:name val="Calibri"/>
    </x:font>
    <x:font>
      <x:sz val="20"/>
      <x:name val="Calibri"/>
    </x:font>
    <x:font>
      <x:sz val="16"/>
      <x:name val="Calibri"/>
    </x:font>
    <x:font>
      <x:sz val="16"/>
      <x:color theme="1"/>
      <x:name val="Calibri"/>
    </x:font>
    <x:font>
      <x:sz val="12"/>
      <x:name val="Calibri"/>
    </x:font>
    <x:font>
      <x:sz val="25"/>
      <x:color theme="0"/>
      <x:name val="Calibri"/>
    </x:font>
    <x:font>
      <x:b/>
      <x:sz val="25"/>
      <x:color theme="0"/>
      <x:name val="Calibri"/>
    </x:font>
    <x:font>
      <x:sz val="24"/>
      <x:color theme="1"/>
      <x:name val="Calibri"/>
    </x:font>
    <x:font>
      <x:sz val="24"/>
      <x:color rgb="FF111111"/>
      <x:name val="Arial"/>
    </x:font>
    <x:font>
      <x:b/>
      <x:sz val="20"/>
      <x:color theme="4" tint="0.79998"/>
      <x:name val="Calibri"/>
    </x:font>
    <x:font>
      <x:b/>
      <x:sz val="40"/>
      <x:name val="Calibri"/>
    </x:font>
    <x:font>
      <x:sz val="25"/>
      <x:name val="Calibri"/>
    </x:font>
    <x:font>
      <x:b/>
      <x:sz val="25"/>
      <x:name val="Calibri"/>
    </x:font>
    <x:font>
      <x:i/>
      <x:sz val="25"/>
      <x:name val="Calibri"/>
    </x:font>
    <x:font>
      <x:b/>
      <x:sz val="30"/>
      <x:name val="Calibri"/>
    </x:font>
    <x:font>
      <x:b/>
      <x:sz val="20"/>
      <x:name val="Calibri"/>
    </x:font>
    <x:font>
      <x:b/>
      <x:i/>
      <x:sz val="20"/>
      <x:name val="Calibri"/>
    </x:font>
    <x:font>
      <x:i/>
      <x:sz val="20"/>
      <x:name val="Calibri"/>
    </x:font>
    <x:font>
      <x:sz val="30"/>
      <x:color theme="0"/>
      <x:name val="Calibri"/>
    </x:font>
    <x:font>
      <x:b/>
      <x:sz val="25"/>
      <x:color theme="0"/>
      <x:name val="Calibri"/>
    </x:font>
    <x:font>
      <x:b/>
      <x:sz val="30"/>
      <x:color theme="0"/>
      <x:name val="Calibri"/>
    </x:font>
    <x:font>
      <x:sz val="25"/>
      <x:color theme="1"/>
      <x:name val="Calibri"/>
    </x:font>
    <x:font>
      <x:b/>
      <x:sz val="30"/>
      <x:color theme="1"/>
      <x:name val="Calibri"/>
    </x:font>
    <x:font>
      <x:b/>
      <x:sz val="10"/>
      <x:color theme="0"/>
      <x:name val="Calibri"/>
    </x:font>
    <x:font>
      <x:sz val="30"/>
      <x:name val="Calibri"/>
    </x:font>
    <x:font>
      <x:b/>
      <x:sz val="12"/>
      <x:color theme="0"/>
      <x:name val="Calibri"/>
    </x:font>
    <x:font>
      <x:sz val="8"/>
      <x:color rgb="FF000000"/>
      <x:name val="Tahoma"/>
    </x:font>
    <x:font>
      <x:sz val="12"/>
      <x:color rgb="FF111111"/>
      <x:name val="Arial"/>
    </x:font>
    <x:font>
      <x:sz val="8"/>
      <x:color rgb="FF000000"/>
      <x:name val="Tahoma"/>
    </x:font>
    <x:font>
      <x:sz val="10"/>
      <x:color rgb="FF17372B"/>
      <x:name val="Aptos"/>
    </x:font>
    <x:font>
      <x:b/>
      <x:sz val="11"/>
      <x:color rgb="FF12372A"/>
      <x:name val="Aptos Display"/>
    </x:font>
    <x:font>
      <x:b/>
      <x:sz val="10"/>
      <x:color rgb="FFFFFFFF"/>
      <x:name val="Aptos"/>
    </x:font>
    <x:font>
      <x:b/>
      <x:sz val="11"/>
      <x:color rgb="FF17372B"/>
      <x:name val="Aptos"/>
    </x:font>
    <x:font>
      <x:b/>
      <x:sz val="10"/>
      <x:color rgb="FF17372B"/>
      <x:name val="Aptos"/>
    </x:font>
    <x:font>
      <x:b/>
      <x:sz val="9"/>
      <x:color rgb="FF17372B"/>
      <x:name val="Aptos Narrow"/>
    </x:font>
    <x:font>
      <x:sz val="9"/>
      <x:color rgb="FF17372B"/>
      <x:name val="Aptos Narrow"/>
    </x:font>
    <x:font>
      <x:b/>
      <x:sz val="16"/>
      <x:color rgb="FFFFFFFF"/>
      <x:name val="Aptos Narrow"/>
    </x:font>
    <x:font>
      <x:b/>
      <x:i/>
      <x:sz val="10"/>
      <x:color rgb="FF17372B"/>
      <x:name val="Aptos"/>
    </x:font>
    <x:font>
      <x:i/>
      <x:sz val="10"/>
      <x:color rgb="FF17372B"/>
      <x:name val="Aptos"/>
    </x:font>
    <x:font>
      <x:b/>
      <x:i/>
      <x:sz val="11"/>
      <x:color rgb="FF12372A"/>
      <x:name val="Aptos Display"/>
    </x:font>
    <x:font>
      <x:b/>
      <x:i/>
      <x:sz val="10"/>
      <x:color rgb="FFFFFFFF"/>
      <x:name val="Aptos"/>
    </x:font>
  </x:fonts>
  <x:fills count="2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4" tint="0.79998"/>
      </x:patternFill>
    </x:fill>
    <x:fill>
      <x:patternFill patternType="solid">
        <x:fgColor theme="4" tint="0.39998"/>
      </x:patternFill>
    </x:fill>
    <x:fill>
      <x:patternFill patternType="solid">
        <x:fgColor theme="4" tint="-0.24998"/>
      </x:patternFill>
    </x:fill>
    <x:fill>
      <x:patternFill patternType="solid">
        <x:fgColor rgb="FFFFFF00"/>
      </x:patternFill>
    </x:fill>
    <x:fill>
      <x:patternFill patternType="solid">
        <x:fgColor theme="7" tint="0.79998"/>
      </x:patternFill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7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rgb="FFF4F9F9"/>
      </x:patternFill>
    </x:fill>
    <x:fill>
      <x:patternFill patternType="solid">
        <x:fgColor rgb="FFFFFFFF"/>
      </x:patternFill>
    </x:fill>
    <x:fill>
      <x:patternFill patternType="solid">
        <x:fgColor rgb="FFF1F1F1"/>
      </x:patternFill>
    </x:fill>
    <x:fill>
      <x:patternFill patternType="solid">
        <x:fgColor theme="8" tint="0.39998"/>
      </x:patternFill>
    </x:fill>
    <x:fill>
      <x:patternFill patternType="solid">
        <x:fgColor theme="8" tint="0.39998"/>
      </x:patternFill>
    </x:fill>
    <x:fill>
      <x:patternFill patternType="solid">
        <x:fgColor rgb="FFEAF5EF"/>
      </x:patternFill>
    </x:fill>
    <x:fill>
      <x:patternFill patternType="solid">
        <x:fgColor rgb="FF12372A"/>
      </x:patternFill>
    </x:fill>
    <x:fill>
      <x:patternFill patternType="solid">
        <x:fgColor rgb="FFF4F8F5"/>
      </x:patternFill>
    </x:fill>
  </x:fills>
  <x:borders count="46">
    <x:border/>
    <x:border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hair">
        <x:color indexed="64"/>
      </x:right>
    </x:border>
    <x:border>
      <x:left style="hair">
        <x:color indexed="64"/>
      </x:left>
      <x:right style="hair">
        <x:color indexed="64"/>
      </x:right>
    </x:border>
    <x:border>
      <x:left style="medium">
        <x:color indexed="64"/>
      </x:left>
      <x:right style="hair">
        <x:color indexed="64"/>
      </x:right>
      <x:top style="medium">
        <x:color indexed="64"/>
      </x:top>
    </x:border>
    <x:border>
      <x:left style="hair">
        <x:color indexed="64"/>
      </x:left>
      <x:right style="hair">
        <x:color indexed="64"/>
      </x:right>
      <x:top style="medium">
        <x:color indexed="64"/>
      </x:top>
    </x:border>
    <x:border>
      <x:left style="hair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rgb="FFDDE4E8"/>
      </x:bottom>
    </x:border>
    <x:border>
      <x:top style="thin">
        <x:color theme="0" tint="-0.14997"/>
      </x:top>
      <x:bottom style="thin">
        <x:color rgb="FFDDE4E8"/>
      </x:bottom>
    </x:border>
    <x:border>
      <x:right style="thin">
        <x:color theme="0" tint="-0.14997"/>
      </x:right>
      <x:top style="thin">
        <x:color theme="0" tint="-0.14997"/>
      </x:top>
      <x:bottom style="thin">
        <x:color rgb="FFDDE4E8"/>
      </x:bottom>
    </x:border>
    <x:border>
      <x:left style="thin">
        <x:color theme="0" tint="-0.14997"/>
      </x:left>
      <x:top style="thin">
        <x:color rgb="FFDDE4E8"/>
      </x:top>
      <x:bottom style="thin">
        <x:color rgb="FFDDE4E8"/>
      </x:bottom>
    </x:border>
    <x:border>
      <x:left style="thin">
        <x:color theme="0" tint="-0.14997"/>
      </x:left>
      <x:right style="thin">
        <x:color theme="0" tint="-0.14997"/>
      </x:right>
      <x:top style="thin">
        <x:color rgb="FFDDE4E8"/>
      </x:top>
      <x:bottom style="thin">
        <x:color rgb="FFDDE4E8"/>
      </x:bottom>
    </x:border>
    <x:border>
      <x:top style="thin">
        <x:color rgb="FFDDE4E8"/>
      </x:top>
      <x:bottom style="thin">
        <x:color rgb="FFDDE4E8"/>
      </x:bottom>
    </x:border>
    <x:border>
      <x:right style="thin">
        <x:color theme="0" tint="-0.14997"/>
      </x:right>
      <x:top style="thin">
        <x:color rgb="FFDDE4E8"/>
      </x:top>
      <x:bottom style="thin">
        <x:color rgb="FFDDE4E8"/>
      </x:bottom>
    </x:border>
    <x:border>
      <x:left style="thin">
        <x:color theme="0" tint="-0.14997"/>
      </x:left>
      <x:top style="thin">
        <x:color rgb="FFDDE4E8"/>
      </x:top>
      <x:bottom style="thin">
        <x:color theme="0" tint="-0.14997"/>
      </x:bottom>
    </x:border>
    <x:border>
      <x:top style="thin">
        <x:color rgb="FFDDE4E8"/>
      </x:top>
      <x:bottom style="thin">
        <x:color theme="0" tint="-0.14997"/>
      </x:bottom>
    </x:border>
    <x:border>
      <x:right style="thin">
        <x:color theme="0" tint="-0.14997"/>
      </x:right>
      <x:top style="thin">
        <x:color rgb="FFDDE4E8"/>
      </x:top>
      <x:bottom style="thin">
        <x:color theme="0" tint="-0.1499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DE4E8"/>
      </x:bottom>
    </x:border>
    <x:border>
      <x:top style="thin">
        <x:color rgb="FFDDE4E8"/>
      </x:top>
    </x:border>
    <x:border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medium">
        <x:color indexed="64"/>
      </x:left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hair">
        <x:color indexed="64"/>
      </x:left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hair">
        <x:color indexed="64"/>
      </x:left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left style="medium">
        <x:color indexed="64"/>
      </x:left>
      <x:top style="thin">
        <x:color rgb="FFDDE4E8"/>
      </x:top>
      <x:bottom style="thin">
        <x:color rgb="FFDDE4E8"/>
      </x:bottom>
    </x:border>
    <x:border>
      <x:left style="medium">
        <x:color indexed="64"/>
      </x:left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right style="medium">
        <x:color indexed="64"/>
      </x:right>
      <x:bottom style="thin">
        <x:color rgb="FFDDE4E8"/>
      </x:bottom>
    </x:border>
  </x:borders>
  <x:cellStyleXfs count="21">
    <x:xf numFmtId="0" fontId="0" fillId="0" borderId="0"/>
    <x:xf numFmtId="44" fontId="1" fillId="0" borderId="0" applyFont="0" applyFill="0" applyBorder="0" applyAlignment="0" applyProtection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0" fontId="3" fillId="0" borderId="0"/>
    <x:xf numFmtId="166" fontId="1" fillId="0" borderId="0" applyFont="0" applyFill="0" applyBorder="0" applyAlignment="0" applyProtection="0"/>
    <x:xf numFmtId="43" fontId="3" fillId="0" borderId="0" applyFont="0" applyFill="0" applyBorder="0" applyAlignment="0" applyProtection="0"/>
    <x:xf numFmtId="0" fontId="2" fillId="8" borderId="0" applyNumberFormat="0" applyBorder="0" applyAlignment="0" applyProtection="0"/>
    <x:xf numFmtId="0" fontId="1" fillId="9" borderId="0" applyNumberFormat="0" applyBorder="0" applyAlignment="0" applyProtection="0"/>
    <x:xf numFmtId="0" fontId="2" fillId="10" borderId="0" applyNumberFormat="0" applyBorder="0" applyAlignment="0" applyProtection="0"/>
    <x:xf numFmtId="0" fontId="1" fillId="11" borderId="0" applyNumberFormat="0" applyBorder="0" applyAlignment="0" applyProtection="0"/>
    <x:xf numFmtId="0" fontId="2" fillId="12" borderId="0" applyNumberFormat="0" applyBorder="0" applyAlignment="0" applyProtection="0"/>
    <x:xf numFmtId="0" fontId="2" fillId="14" borderId="0" applyNumberFormat="0" applyBorder="0" applyAlignment="0" applyProtection="0"/>
    <x:xf numFmtId="0" fontId="1" fillId="15" borderId="0" applyNumberFormat="0" applyBorder="0" applyAlignment="0" applyProtection="0"/>
    <x:xf numFmtId="0" fontId="2" fillId="16" borderId="0" applyNumberFormat="0" applyBorder="0" applyAlignment="0" applyProtection="0"/>
    <x:xf numFmtId="0" fontId="1" fillId="17" borderId="0" applyNumberFormat="0" applyBorder="0" applyAlignment="0" applyProtection="0"/>
    <x:xf numFmtId="166" fontId="3" fillId="0" borderId="0" applyFont="0" applyFill="0" applyBorder="0" applyAlignment="0" applyProtection="0"/>
    <x:xf numFmtId="0" fontId="1" fillId="13" borderId="0" applyNumberFormat="0" applyBorder="0" applyAlignment="0" applyProtection="0"/>
    <x:xf numFmtId="43" fontId="1" fillId="0" borderId="0" applyFont="0" applyFill="0" applyBorder="0" applyAlignment="0" applyProtection="0"/>
    <x:xf numFmtId="0" fontId="15" fillId="0" borderId="0"/>
  </x:cellStyleXfs>
  <x:cellXfs count="1183">
    <x:xf numFmtId="0" fontId="0" fillId="0" borderId="0" xfId="0"/>
    <x:xf numFmtId="0" fontId="3" fillId="0" borderId="0" xfId="5"/>
    <x:xf numFmtId="3" fontId="3" fillId="0" borderId="0" xfId="5" applyNumberFormat="1"/>
    <x:xf numFmtId="165" fontId="6" fillId="2" borderId="6" xfId="6" applyNumberFormat="1" applyFont="1" applyFill="1" applyBorder="1" applyAlignment="1">
      <x:alignment horizontal="center"/>
    </x:xf>
    <x:xf numFmtId="165" fontId="8" fillId="0" borderId="0" xfId="17" applyNumberFormat="1" applyFont="1"/>
    <x:xf numFmtId="0" fontId="8" fillId="0" borderId="0" xfId="5" applyFont="1"/>
    <x:xf numFmtId="165" fontId="8" fillId="0" borderId="0" xfId="5" applyNumberFormat="1" applyFont="1"/>
    <x:xf numFmtId="0" fontId="11" fillId="0" borderId="0" xfId="13" applyFont="1" applyFill="1" applyBorder="1"/>
    <x:xf numFmtId="0" fontId="12" fillId="0" borderId="0" xfId="13" applyFont="1" applyFill="1"/>
    <x:xf numFmtId="165" fontId="12" fillId="0" borderId="0" xfId="17" applyNumberFormat="1" applyFont="1" applyFill="1" applyBorder="1"/>
    <x:xf numFmtId="0" fontId="12" fillId="0" borderId="0" xfId="13" applyFont="1" applyFill="1" applyBorder="1"/>
    <x:xf numFmtId="0" fontId="11" fillId="0" borderId="0" xfId="4" applyFont="1" applyAlignment="1">
      <x:alignment horizontal="center"/>
    </x:xf>
    <x:xf numFmtId="0" fontId="12" fillId="0" borderId="0" xfId="5" applyFont="1"/>
    <x:xf numFmtId="165" fontId="12" fillId="0" borderId="0" xfId="13" applyNumberFormat="1" applyFont="1" applyFill="1"/>
    <x:xf numFmtId="0" fontId="18" fillId="0" borderId="0" xfId="5" applyFont="1"/>
    <x:xf numFmtId="165" fontId="12" fillId="2" borderId="7" xfId="6" applyNumberFormat="1" applyFont="1" applyFill="1" applyBorder="1" applyAlignment="1">
      <x:alignment horizontal="center"/>
    </x:xf>
    <x:xf numFmtId="165" fontId="12" fillId="0" borderId="0" xfId="5" applyNumberFormat="1" applyFont="1"/>
    <x:xf numFmtId="0" fontId="11" fillId="0" borderId="0" xfId="5" applyFont="1"/>
    <x:xf numFmtId="164" fontId="11" fillId="0" borderId="0" xfId="19" applyNumberFormat="1" applyFont="1"/>
    <x:xf numFmtId="165" fontId="11" fillId="0" borderId="0" xfId="17" applyNumberFormat="1" applyFont="1"/>
    <x:xf numFmtId="165" fontId="11" fillId="0" borderId="0" xfId="5" applyNumberFormat="1" applyFont="1"/>
    <x:xf numFmtId="0" fontId="18" fillId="0" borderId="0" xfId="13" applyFont="1" applyFill="1"/>
    <x:xf numFmtId="0" fontId="19" fillId="2" borderId="0" xfId="4" applyFont="1" applyFill="1" applyAlignment="1">
      <x:alignment horizontal="right"/>
    </x:xf>
    <x:xf numFmtId="0" fontId="19" fillId="0" borderId="0" xfId="4" applyFont="1"/>
    <x:xf numFmtId="164" fontId="19" fillId="0" borderId="0" xfId="19" applyNumberFormat="1" applyFont="1"/>
    <x:xf numFmtId="0" fontId="19" fillId="2" borderId="0" xfId="4" applyFont="1" applyFill="1"/>
    <x:xf numFmtId="165" fontId="19" fillId="0" borderId="0" xfId="4" applyNumberFormat="1" applyFont="1"/>
    <x:xf numFmtId="0" fontId="21" fillId="0" borderId="0" xfId="4" applyFont="1"/>
    <x:xf numFmtId="0" fontId="20" fillId="2" borderId="0" xfId="4" applyFont="1" applyFill="1" applyAlignment="1">
      <x:alignment horizontal="right"/>
    </x:xf>
    <x:xf numFmtId="0" fontId="20" fillId="2" borderId="0" xfId="4" applyFont="1" applyFill="1" applyAlignment="1">
      <x:alignment horizontal="center" vertical="center"/>
    </x:xf>
    <x:xf numFmtId="3" fontId="20" fillId="2" borderId="0" xfId="4" applyNumberFormat="1" applyFont="1" applyFill="1" applyAlignment="1">
      <x:alignment horizontal="right"/>
    </x:xf>
    <x:xf numFmtId="2" fontId="21" fillId="0" borderId="0" xfId="19" applyNumberFormat="1" applyFont="1" applyAlignment="1">
      <x:alignment vertical="center"/>
    </x:xf>
    <x:xf numFmtId="165" fontId="19" fillId="17" borderId="6" xfId="16" applyNumberFormat="1" applyFont="1" applyBorder="1" applyAlignment="1">
      <x:alignment horizontal="center" vertical="center"/>
    </x:xf>
    <x:xf numFmtId="165" fontId="19" fillId="11" borderId="6" xfId="11" applyNumberFormat="1" applyFont="1" applyBorder="1" applyAlignment="1">
      <x:alignment horizontal="center" vertical="center"/>
    </x:xf>
    <x:xf numFmtId="165" fontId="19" fillId="9" borderId="6" xfId="9" applyNumberFormat="1" applyFont="1" applyBorder="1" applyAlignment="1">
      <x:alignment horizontal="center" vertical="center"/>
    </x:xf>
    <x:xf numFmtId="165" fontId="19" fillId="13" borderId="6" xfId="18" applyNumberFormat="1" applyFont="1" applyBorder="1" applyAlignment="1">
      <x:alignment horizontal="center" vertical="center"/>
    </x:xf>
    <x:xf numFmtId="165" fontId="19" fillId="9" borderId="15" xfId="9" applyNumberFormat="1" applyFont="1" applyBorder="1" applyAlignment="1">
      <x:alignment horizontal="center" vertical="center"/>
    </x:xf>
    <x:xf numFmtId="165" fontId="10" fillId="17" borderId="11" xfId="16" applyNumberFormat="1" applyFont="1" applyBorder="1" applyAlignment="1">
      <x:alignment horizontal="center"/>
    </x:xf>
    <x:xf numFmtId="165" fontId="10" fillId="11" borderId="11" xfId="11" applyNumberFormat="1" applyFont="1" applyBorder="1" applyAlignment="1">
      <x:alignment horizontal="center"/>
    </x:xf>
    <x:xf numFmtId="165" fontId="10" fillId="9" borderId="11" xfId="9" applyNumberFormat="1" applyFont="1" applyBorder="1" applyAlignment="1">
      <x:alignment horizontal="center"/>
    </x:xf>
    <x:xf numFmtId="165" fontId="19" fillId="13" borderId="11" xfId="18" applyNumberFormat="1" applyFont="1" applyBorder="1" applyAlignment="1">
      <x:alignment horizontal="center"/>
    </x:xf>
    <x:xf numFmtId="165" fontId="10" fillId="9" borderId="14" xfId="9" applyNumberFormat="1" applyFont="1" applyBorder="1" applyAlignment="1">
      <x:alignment horizontal="center"/>
    </x:xf>
    <x:xf numFmtId="0" fontId="24" fillId="2" borderId="0" xfId="4" applyFont="1" applyFill="1" applyAlignment="1">
      <x:alignment horizontal="right"/>
    </x:xf>
    <x:xf numFmtId="0" fontId="24" fillId="2" borderId="0" xfId="4" applyFont="1" applyFill="1" applyAlignment="1">
      <x:alignment horizontal="center" vertical="center"/>
    </x:xf>
    <x:xf numFmtId="165" fontId="19" fillId="13" borderId="11" xfId="18" applyNumberFormat="1" applyFont="1" applyBorder="1" applyAlignment="1">
      <x:alignment horizontal="center" vertical="center"/>
    </x:xf>
    <x:xf numFmtId="2" fontId="21" fillId="0" borderId="0" xfId="19" applyNumberFormat="1" applyFont="1" applyAlignment="1">
      <x:alignment horizontal="center" vertical="center"/>
    </x:xf>
    <x:xf numFmtId="0" fontId="19" fillId="0" borderId="0" xfId="4" applyFont="1" applyAlignment="1">
      <x:alignment horizontal="center" vertical="center"/>
    </x:xf>
    <x:xf numFmtId="165" fontId="10" fillId="9" borderId="11" xfId="9" applyNumberFormat="1" applyFont="1" applyBorder="1" applyAlignment="1">
      <x:alignment horizontal="center" vertical="center"/>
    </x:xf>
    <x:xf numFmtId="2" fontId="19" fillId="0" borderId="0" xfId="19" applyNumberFormat="1" applyFont="1" applyAlignment="1">
      <x:alignment vertical="center"/>
    </x:xf>
    <x:xf numFmtId="2" fontId="19" fillId="0" borderId="0" xfId="19" applyNumberFormat="1" applyFont="1" applyAlignment="1">
      <x:alignment horizontal="center" vertical="center"/>
    </x:xf>
    <x:xf numFmtId="2" fontId="25" fillId="0" borderId="0" xfId="19" applyNumberFormat="1" applyFont="1"/>
    <x:xf numFmtId="2" fontId="25" fillId="2" borderId="0" xfId="19" applyNumberFormat="1" applyFont="1" applyFill="1" applyAlignment="1">
      <x:alignment vertical="center"/>
    </x:xf>
    <x:xf numFmtId="2" fontId="25" fillId="0" borderId="0" xfId="19" applyNumberFormat="1" applyFont="1" applyAlignment="1">
      <x:alignment horizontal="center" vertical="center"/>
    </x:xf>
    <x:xf numFmtId="2" fontId="25" fillId="0" borderId="0" xfId="19" applyNumberFormat="1" applyFont="1" applyAlignment="1">
      <x:alignment vertical="center"/>
    </x:xf>
    <x:xf numFmtId="0" fontId="25" fillId="0" borderId="0" xfId="0" applyFont="1"/>
    <x:xf numFmtId="1" fontId="21" fillId="0" borderId="0" xfId="19" applyNumberFormat="1" applyFont="1"/>
    <x:xf numFmtId="2" fontId="19" fillId="0" borderId="0" xfId="19" applyNumberFormat="1" applyFont="1"/>
    <x:xf numFmtId="2" fontId="21" fillId="0" borderId="0" xfId="19" applyNumberFormat="1" applyFont="1"/>
    <x:xf numFmtId="2" fontId="25" fillId="0" borderId="0" xfId="19" applyNumberFormat="1" applyFont="1" applyFill="1"/>
    <x:xf numFmtId="1" fontId="25" fillId="0" borderId="0" xfId="19" applyNumberFormat="1" applyFont="1" applyAlignment="1">
      <x:alignment vertical="center"/>
    </x:xf>
    <x:xf numFmtId="1" fontId="25" fillId="0" borderId="0" xfId="19" applyNumberFormat="1" applyFont="1" applyAlignment="1">
      <x:alignment horizontal="center" vertical="center"/>
    </x:xf>
    <x:xf numFmtId="1" fontId="21" fillId="0" borderId="0" xfId="19" applyNumberFormat="1" applyFont="1" applyAlignment="1">
      <x:alignment horizontal="center" vertical="center"/>
    </x:xf>
    <x:xf numFmtId="1" fontId="25" fillId="0" borderId="0" xfId="19" applyNumberFormat="1" applyFont="1" applyAlignment="1">
      <x:alignment horizontal="left" vertical="center"/>
    </x:xf>
    <x:xf numFmtId="2" fontId="25" fillId="0" borderId="0" xfId="19" applyNumberFormat="1" applyFont="1" applyAlignment="1">
      <x:alignment horizontal="left" vertical="center"/>
    </x:xf>
    <x:xf numFmtId="0" fontId="22" fillId="0" borderId="15" xfId="4" applyFont="1" applyBorder="1"/>
    <x:xf numFmtId="164" fontId="19" fillId="2" borderId="0" xfId="19" applyNumberFormat="1" applyFont="1" applyFill="1" applyAlignment="1">
      <x:alignment horizontal="center"/>
    </x:xf>
    <x:xf numFmtId="164" fontId="19" fillId="7" borderId="6" xfId="19" applyNumberFormat="1" applyFont="1" applyFill="1" applyBorder="1" applyAlignment="1">
      <x:alignment horizontal="center" vertical="center"/>
    </x:xf>
    <x:xf numFmtId="164" fontId="10" fillId="7" borderId="14" xfId="19" applyNumberFormat="1" applyFont="1" applyFill="1" applyBorder="1" applyAlignment="1">
      <x:alignment horizontal="center" vertical="center"/>
    </x:xf>
    <x:xf numFmtId="164" fontId="19" fillId="2" borderId="0" xfId="19" applyNumberFormat="1" applyFont="1" applyFill="1"/>
    <x:xf numFmtId="0" fontId="3" fillId="0" borderId="0" xfId="0" applyFont="1"/>
    <x:xf numFmtId="0" fontId="3" fillId="2" borderId="0" xfId="2" applyFont="1" applyFill="1" applyAlignment="1">
      <x:alignment horizontal="center"/>
    </x:xf>
    <x:xf numFmtId="0" fontId="3" fillId="2" borderId="0" xfId="2" applyFont="1" applyFill="1"/>
    <x:xf numFmtId="0" fontId="3" fillId="0" borderId="0" xfId="2" applyFont="1"/>
    <x:xf numFmtId="49" fontId="35" fillId="0" borderId="0" xfId="5" applyNumberFormat="1" applyFont="1" applyAlignment="1">
      <x:alignment horizontal="left"/>
    </x:xf>
    <x:xf numFmtId="0" fontId="30" fillId="0" borderId="0" xfId="4" applyFont="1"/>
    <x:xf numFmtId="0" fontId="36" fillId="0" borderId="0" xfId="4" applyFont="1"/>
    <x:xf numFmtId="0" fontId="21" fillId="2" borderId="0" xfId="4" applyFont="1" applyFill="1" applyAlignment="1">
      <x:alignment horizontal="right"/>
    </x:xf>
    <x:xf numFmtId="164" fontId="21" fillId="0" borderId="0" xfId="19" applyNumberFormat="1" applyFont="1" applyAlignment="1">
      <x:alignment vertical="center"/>
    </x:xf>
    <x:xf numFmtId="0" fontId="21" fillId="2" borderId="0" xfId="4" applyFont="1" applyFill="1"/>
    <x:xf numFmtId="0" fontId="19" fillId="0" borderId="0" xfId="4" applyFont="1" applyAlignment="1">
      <x:alignment horizontal="left"/>
    </x:xf>
    <x:xf numFmtId="165" fontId="30" fillId="0" borderId="0" xfId="17" applyNumberFormat="1" applyFont="1" applyFill="1"/>
    <x:xf numFmtId="165" fontId="30" fillId="0" borderId="0" xfId="4" applyNumberFormat="1" applyFont="1"/>
    <x:xf numFmtId="165" fontId="11" fillId="0" borderId="0" xfId="17" applyNumberFormat="1" applyFont="1" applyFill="1"/>
    <x:xf numFmtId="0" fontId="18" fillId="5" borderId="0" xfId="5" applyFont="1" applyFill="1"/>
    <x:xf numFmtId="164" fontId="38" fillId="0" borderId="0" xfId="19" applyNumberFormat="1" applyFont="1"/>
    <x:xf numFmtId="164" fontId="38" fillId="6" borderId="0" xfId="19" applyNumberFormat="1" applyFont="1" applyFill="1"/>
    <x:xf numFmtId="164" fontId="39" fillId="18" borderId="16" xfId="19" applyNumberFormat="1" applyFont="1" applyFill="1" applyBorder="1" applyAlignment="1">
      <x:alignment horizontal="left" vertical="center" wrapText="1"/>
    </x:xf>
    <x:xf numFmtId="2" fontId="38" fillId="0" borderId="0" xfId="19" applyNumberFormat="1" applyFont="1"/>
    <x:xf numFmtId="2" fontId="39" fillId="18" borderId="16" xfId="19" applyNumberFormat="1" applyFont="1" applyFill="1" applyBorder="1" applyAlignment="1">
      <x:alignment horizontal="left" vertical="center" wrapText="1"/>
    </x:xf>
    <x:xf numFmtId="164" fontId="38" fillId="21" borderId="0" xfId="19" applyNumberFormat="1" applyFont="1" applyFill="1"/>
    <x:xf numFmtId="164" fontId="39" fillId="22" borderId="16" xfId="19" applyNumberFormat="1" applyFont="1" applyFill="1" applyBorder="1" applyAlignment="1">
      <x:alignment horizontal="left" vertical="center" wrapText="1"/>
    </x:xf>
    <x:xf numFmtId="164" fontId="39" fillId="19" borderId="16" xfId="19" applyNumberFormat="1" applyFont="1" applyFill="1" applyBorder="1" applyAlignment="1">
      <x:alignment horizontal="right" vertical="center" wrapText="1"/>
    </x:xf>
    <x:xf numFmtId="0" fontId="21" fillId="0" borderId="14" xfId="4" applyFont="1" applyBorder="1"/>
    <x:xf numFmtId="2" fontId="40" fillId="3" borderId="14" xfId="19" applyNumberFormat="1" applyFont="1" applyFill="1" applyBorder="1" applyAlignment="1">
      <x:alignment horizontal="right"/>
    </x:xf>
    <x:xf numFmtId="164" fontId="25" fillId="0" borderId="0" xfId="19" applyNumberFormat="1" applyFont="1" applyAlignment="1">
      <x:alignment vertical="center"/>
    </x:xf>
    <x:xf numFmtId="3" fontId="32" fillId="2" borderId="4" xfId="4" applyNumberFormat="1" applyFont="1" applyFill="1" applyBorder="1" applyAlignment="1">
      <x:alignment horizontal="center" vertical="center"/>
    </x:xf>
    <x:xf numFmtId="3" fontId="32" fillId="2" borderId="0" xfId="4" applyNumberFormat="1" applyFont="1" applyFill="1" applyAlignment="1">
      <x:alignment horizontal="center" vertical="center"/>
    </x:xf>
    <x:xf numFmtId="0" fontId="32" fillId="0" borderId="0" xfId="4" applyFont="1"/>
    <x:xf numFmtId="3" fontId="32" fillId="2" borderId="1" xfId="4" applyNumberFormat="1" applyFont="1" applyFill="1" applyBorder="1" applyAlignment="1">
      <x:alignment horizontal="center" vertical="center"/>
    </x:xf>
    <x:xf numFmtId="0" fontId="44" fillId="2" borderId="0" xfId="4" applyFont="1" applyFill="1" applyAlignment="1">
      <x:alignment horizontal="right"/>
    </x:xf>
    <x:xf numFmtId="165" fontId="43" fillId="2" borderId="0" xfId="17" applyNumberFormat="1" applyFont="1" applyFill="1" applyBorder="1" applyAlignment="1">
      <x:alignment vertical="center"/>
    </x:xf>
    <x:xf numFmtId="164" fontId="32" fillId="0" borderId="0" xfId="19" applyNumberFormat="1" applyFont="1"/>
    <x:xf numFmtId="0" fontId="42" fillId="2" borderId="0" xfId="4" applyFont="1" applyFill="1" applyAlignment="1">
      <x:alignment horizontal="center" vertical="center"/>
    </x:xf>
    <x:xf numFmtId="0" fontId="42" fillId="0" borderId="0" xfId="4" applyFont="1"/>
    <x:xf numFmtId="0" fontId="44" fillId="2" borderId="0" xfId="4" applyFont="1" applyFill="1" applyAlignment="1">
      <x:alignment horizontal="center" vertical="center"/>
    </x:xf>
    <x:xf numFmtId="164" fontId="42" fillId="0" borderId="0" xfId="19" applyNumberFormat="1" applyFont="1"/>
    <x:xf numFmtId="0" fontId="32" fillId="2" borderId="0" xfId="4" applyFont="1" applyFill="1"/>
    <x:xf numFmtId="0" fontId="32" fillId="2" borderId="0" xfId="4" applyFont="1" applyFill="1" applyAlignment="1">
      <x:alignment horizontal="center" vertical="center"/>
    </x:xf>
    <x:xf numFmtId="164" fontId="32" fillId="2" borderId="0" xfId="19" applyNumberFormat="1" applyFont="1" applyFill="1"/>
    <x:xf numFmtId="165" fontId="32" fillId="0" borderId="0" xfId="4" applyNumberFormat="1" applyFont="1"/>
    <x:xf numFmtId="164" fontId="46" fillId="0" borderId="0" xfId="19" applyNumberFormat="1" applyFont="1" applyFill="1" applyAlignment="1">
      <x:alignment vertical="center"/>
    </x:xf>
    <x:xf numFmtId="14" fontId="46" fillId="0" borderId="0" xfId="19" applyNumberFormat="1" applyFont="1" applyFill="1" applyAlignment="1">
      <x:alignment vertical="center"/>
    </x:xf>
    <x:xf numFmtId="0" fontId="12" fillId="0" borderId="0" xfId="0" applyFont="1"/>
    <x:xf numFmtId="0" fontId="32" fillId="0" borderId="0" xfId="4" applyFont="1" applyAlignment="1">
      <x:alignment horizontal="center" vertical="center"/>
    </x:xf>
    <x:xf numFmtId="0" fontId="46" fillId="0" borderId="0" xfId="4" applyFont="1" applyAlignment="1">
      <x:alignment wrapText="1"/>
    </x:xf>
    <x:xf numFmtId="165" fontId="46" fillId="2" borderId="0" xfId="17" applyNumberFormat="1" applyFont="1" applyFill="1" applyBorder="1" applyAlignment="1">
      <x:alignment vertical="center"/>
    </x:xf>
    <x:xf numFmtId="0" fontId="42" fillId="2" borderId="0" xfId="4" applyFont="1" applyFill="1" applyAlignment="1">
      <x:alignment horizontal="left"/>
    </x:xf>
    <x:xf numFmtId="0" fontId="43" fillId="2" borderId="0" xfId="4" applyFont="1" applyFill="1" applyAlignment="1">
      <x:alignment vertical="center"/>
    </x:xf>
    <x:xf numFmtId="164" fontId="25" fillId="0" borderId="0" xfId="19" applyNumberFormat="1" applyFont="1"/>
    <x:xf numFmtId="2" fontId="32" fillId="0" borderId="0" xfId="19" applyNumberFormat="1" applyFont="1"/>
    <x:xf numFmtId="164" fontId="32" fillId="0" borderId="0" xfId="19" applyNumberFormat="1" applyFont="1" applyFill="1" applyBorder="1" applyAlignment="1">
      <x:alignment horizontal="center" vertical="center"/>
    </x:xf>
    <x:xf numFmtId="164" fontId="32" fillId="2" borderId="2" xfId="19" applyNumberFormat="1" applyFont="1" applyFill="1" applyBorder="1"/>
    <x:xf numFmtId="164" fontId="32" fillId="2" borderId="4" xfId="19" applyNumberFormat="1" applyFont="1" applyFill="1" applyBorder="1" applyAlignment="1">
      <x:alignment horizontal="center" vertical="center"/>
    </x:xf>
    <x:xf numFmtId="164" fontId="32" fillId="0" borderId="4" xfId="19" applyNumberFormat="1" applyFont="1" applyBorder="1"/>
    <x:xf numFmtId="164" fontId="32" fillId="0" borderId="3" xfId="19" applyNumberFormat="1" applyFont="1" applyBorder="1"/>
    <x:xf numFmtId="164" fontId="32" fillId="2" borderId="6" xfId="19" applyNumberFormat="1" applyFont="1" applyFill="1" applyBorder="1"/>
    <x:xf numFmtId="164" fontId="32" fillId="2" borderId="0" xfId="19" applyNumberFormat="1" applyFont="1" applyFill="1" applyBorder="1" applyAlignment="1">
      <x:alignment horizontal="center" vertical="center"/>
    </x:xf>
    <x:xf numFmtId="164" fontId="32" fillId="0" borderId="0" xfId="19" applyNumberFormat="1" applyFont="1" applyBorder="1"/>
    <x:xf numFmtId="164" fontId="32" fillId="0" borderId="7" xfId="19" applyNumberFormat="1" applyFont="1" applyBorder="1"/>
    <x:xf numFmtId="164" fontId="32" fillId="2" borderId="8" xfId="19" applyNumberFormat="1" applyFont="1" applyFill="1" applyBorder="1"/>
    <x:xf numFmtId="164" fontId="32" fillId="2" borderId="1" xfId="19" applyNumberFormat="1" applyFont="1" applyFill="1" applyBorder="1" applyAlignment="1">
      <x:alignment horizontal="center" vertical="center"/>
    </x:xf>
    <x:xf numFmtId="164" fontId="32" fillId="0" borderId="1" xfId="19" applyNumberFormat="1" applyFont="1" applyBorder="1"/>
    <x:xf numFmtId="164" fontId="32" fillId="0" borderId="9" xfId="19" applyNumberFormat="1" applyFont="1" applyBorder="1"/>
    <x:xf numFmtId="164" fontId="25" fillId="0" borderId="0" xfId="19" applyNumberFormat="1" applyFont="1" applyAlignment="1">
      <x:alignment horizontal="left" vertical="center"/>
    </x:xf>
    <x:xf numFmtId="164" fontId="21" fillId="0" borderId="0" xfId="19" applyNumberFormat="1" applyFont="1" applyAlignment="1">
      <x:alignment horizontal="left" vertical="center"/>
    </x:xf>
    <x:xf numFmtId="1" fontId="21" fillId="2" borderId="0" xfId="19" applyNumberFormat="1" applyFont="1" applyFill="1" applyAlignment="1">
      <x:alignment vertical="center"/>
    </x:xf>
    <x:xf numFmtId="1" fontId="21" fillId="0" borderId="0" xfId="19" applyNumberFormat="1" applyFont="1" applyAlignment="1">
      <x:alignment vertical="center"/>
    </x:xf>
    <x:xf numFmtId="164" fontId="21" fillId="0" borderId="0" xfId="19" applyNumberFormat="1" applyFont="1"/>
    <x:xf numFmtId="0" fontId="23" fillId="2" borderId="0" xfId="4" applyFont="1" applyFill="1" applyAlignment="1">
      <x:alignment vertical="center"/>
    </x:xf>
    <x:xf numFmtId="0" fontId="22" fillId="2" borderId="0" xfId="4" applyFont="1" applyFill="1" applyAlignment="1">
      <x:alignment horizontal="center" vertical="center"/>
    </x:xf>
    <x:xf numFmtId="2" fontId="49" fillId="2" borderId="0" xfId="19" applyNumberFormat="1" applyFont="1" applyFill="1" applyBorder="1" applyAlignment="1">
      <x:alignment vertical="center"/>
    </x:xf>
    <x:xf numFmtId="2" fontId="30" fillId="2" borderId="0" xfId="19" applyNumberFormat="1" applyFont="1" applyFill="1" applyBorder="1" applyAlignment="1">
      <x:alignment vertical="center"/>
    </x:xf>
    <x:xf numFmtId="2" fontId="30" fillId="2" borderId="0" xfId="19" applyNumberFormat="1" applyFont="1" applyFill="1" applyBorder="1"/>
    <x:xf numFmtId="0" fontId="18" fillId="2" borderId="0" xfId="0" applyFont="1" applyFill="1"/>
    <x:xf numFmtId="164" fontId="30" fillId="2" borderId="0" xfId="19" applyNumberFormat="1" applyFont="1" applyFill="1" applyBorder="1" applyAlignment="1">
      <x:alignment horizontal="left" vertical="center"/>
    </x:xf>
    <x:xf numFmtId="164" fontId="30" fillId="2" borderId="0" xfId="19" applyNumberFormat="1" applyFont="1" applyFill="1" applyBorder="1" applyAlignment="1">
      <x:alignment vertical="center"/>
    </x:xf>
    <x:xf numFmtId="164" fontId="30" fillId="2" borderId="0" xfId="19" applyNumberFormat="1" applyFont="1" applyFill="1" applyBorder="1"/>
    <x:xf numFmtId="0" fontId="37" fillId="2" borderId="0" xfId="4" applyFont="1" applyFill="1" applyAlignment="1">
      <x:alignment vertical="center"/>
    </x:xf>
    <x:xf numFmtId="2" fontId="30" fillId="2" borderId="0" xfId="19" applyNumberFormat="1" applyFont="1" applyFill="1" applyBorder="1" applyAlignment="1">
      <x:alignment horizontal="center" vertical="center"/>
    </x:xf>
    <x:xf numFmtId="0" fontId="52" fillId="0" borderId="0" xfId="0" applyFont="1"/>
    <x:xf numFmtId="164" fontId="42" fillId="2" borderId="0" xfId="19" applyNumberFormat="1" applyFont="1" applyFill="1"/>
    <x:xf numFmtId="0" fontId="42" fillId="2" borderId="0" xfId="4" applyFont="1" applyFill="1"/>
    <x:xf numFmtId="3" fontId="30" fillId="0" borderId="0" xfId="4" applyNumberFormat="1" applyFont="1" applyAlignment="1">
      <x:alignment vertical="center"/>
    </x:xf>
    <x:xf numFmtId="3" fontId="30" fillId="0" borderId="0" xfId="4" applyNumberFormat="1" applyFont="1" applyAlignment="1">
      <x:alignment horizontal="center" vertical="center"/>
    </x:xf>
    <x:xf numFmtId="3" fontId="32" fillId="0" borderId="0" xfId="4" applyNumberFormat="1" applyFont="1" applyAlignment="1">
      <x:alignment horizontal="center" vertical="center"/>
    </x:xf>
    <x:xf numFmtId="0" fontId="32" fillId="0" borderId="4" xfId="4" applyFont="1" applyBorder="1" applyAlignment="1">
      <x:alignment horizontal="center" vertical="center"/>
    </x:xf>
    <x:xf numFmtId="3" fontId="32" fillId="0" borderId="4" xfId="4" applyNumberFormat="1" applyFont="1" applyBorder="1" applyAlignment="1">
      <x:alignment horizontal="center" vertical="center"/>
    </x:xf>
    <x:xf numFmtId="0" fontId="32" fillId="0" borderId="3" xfId="4" applyFont="1" applyBorder="1" applyAlignment="1">
      <x:alignment horizontal="center" vertical="center"/>
    </x:xf>
    <x:xf numFmtId="0" fontId="32" fillId="0" borderId="7" xfId="4" applyFont="1" applyBorder="1" applyAlignment="1">
      <x:alignment horizontal="center" vertical="center"/>
    </x:xf>
    <x:xf numFmtId="3" fontId="21" fillId="0" borderId="0" xfId="4" applyNumberFormat="1" applyFont="1" applyAlignment="1">
      <x:alignment horizontal="center" vertical="center"/>
    </x:xf>
    <x:xf numFmtId="0" fontId="21" fillId="0" borderId="0" xfId="4" applyFont="1" applyAlignment="1">
      <x:alignment horizontal="center" vertical="center"/>
    </x:xf>
    <x:xf numFmtId="0" fontId="32" fillId="0" borderId="1" xfId="4" applyFont="1" applyBorder="1" applyAlignment="1">
      <x:alignment horizontal="center" vertical="center"/>
    </x:xf>
    <x:xf numFmtId="0" fontId="32" fillId="0" borderId="9" xfId="4" applyFont="1" applyBorder="1" applyAlignment="1">
      <x:alignment horizontal="center" vertical="center"/>
    </x:xf>
    <x:xf numFmtId="0" fontId="28" fillId="0" borderId="0" xfId="0" applyFont="1" applyAlignment="1">
      <x:alignment horizontal="left"/>
    </x:xf>
    <x:xf numFmtId="164" fontId="19" fillId="9" borderId="15" xfId="19" applyNumberFormat="1" applyFont="1" applyFill="1" applyBorder="1" applyAlignment="1">
      <x:alignment horizontal="center" vertical="center"/>
    </x:xf>
    <x:xf numFmtId="164" fontId="10" fillId="9" borderId="14" xfId="19" applyNumberFormat="1" applyFont="1" applyFill="1" applyBorder="1" applyAlignment="1">
      <x:alignment horizontal="center"/>
    </x:xf>
    <x:xf numFmtId="164" fontId="25" fillId="4" borderId="5" xfId="19" applyNumberFormat="1" applyFont="1" applyFill="1" applyBorder="1" applyAlignment="1">
      <x:alignment vertical="center"/>
    </x:xf>
    <x:xf numFmtId="164" fontId="25" fillId="4" borderId="15" xfId="19" applyNumberFormat="1" applyFont="1" applyFill="1" applyBorder="1" applyAlignment="1">
      <x:alignment vertical="center"/>
    </x:xf>
    <x:xf numFmtId="164" fontId="25" fillId="4" borderId="13" xfId="19" applyNumberFormat="1" applyFont="1" applyFill="1" applyBorder="1" applyAlignment="1">
      <x:alignment vertical="center"/>
    </x:xf>
    <x:xf numFmtId="164" fontId="9" fillId="4" borderId="8" xfId="19" applyNumberFormat="1" applyFont="1" applyFill="1" applyBorder="1" applyAlignment="1">
      <x:alignment vertical="center"/>
    </x:xf>
    <x:xf numFmtId="164" fontId="26" fillId="4" borderId="1" xfId="19" applyNumberFormat="1" applyFont="1" applyFill="1" applyBorder="1" applyAlignment="1">
      <x:alignment vertical="center"/>
    </x:xf>
    <x:xf numFmtId="164" fontId="9" fillId="4" borderId="9" xfId="19" applyNumberFormat="1" applyFont="1" applyFill="1" applyBorder="1" applyAlignment="1">
      <x:alignment vertical="center"/>
    </x:xf>
    <x:xf numFmtId="164" fontId="10" fillId="4" borderId="8" xfId="19" applyNumberFormat="1" applyFont="1" applyFill="1" applyBorder="1" applyAlignment="1">
      <x:alignment vertical="center"/>
    </x:xf>
    <x:xf numFmtId="0" fontId="54" fillId="2" borderId="3" xfId="4" applyFont="1" applyFill="1" applyBorder="1" applyAlignment="1">
      <x:alignment vertical="top"/>
    </x:xf>
    <x:xf numFmtId="0" fontId="54" fillId="2" borderId="7" xfId="4" applyFont="1" applyFill="1" applyBorder="1" applyAlignment="1">
      <x:alignment vertical="top"/>
    </x:xf>
    <x:xf numFmtId="0" fontId="54" fillId="2" borderId="9" xfId="4" applyFont="1" applyFill="1" applyBorder="1" applyAlignment="1">
      <x:alignment vertical="top"/>
    </x:xf>
    <x:xf numFmtId="0" fontId="22" fillId="0" borderId="2" xfId="4" applyFont="1" applyBorder="1"/>
    <x:xf numFmtId="0" fontId="22" fillId="0" borderId="6" xfId="4" applyFont="1" applyBorder="1"/>
    <x:xf numFmtId="0" fontId="22" fillId="0" borderId="8" xfId="4" applyFont="1" applyBorder="1"/>
    <x:xf numFmtId="0" fontId="50" fillId="0" borderId="5" xfId="0" applyFont="1" applyBorder="1"/>
    <x:xf numFmtId="0" fontId="50" fillId="0" borderId="15" xfId="0" applyFont="1" applyBorder="1"/>
    <x:xf numFmtId="0" fontId="50" fillId="0" borderId="15" xfId="4" applyFont="1" applyBorder="1"/>
    <x:xf numFmtId="2" fontId="50" fillId="0" borderId="3" xfId="19" applyNumberFormat="1" applyFont="1" applyBorder="1" applyAlignment="1">
      <x:alignment vertical="center"/>
    </x:xf>
    <x:xf numFmtId="2" fontId="50" fillId="0" borderId="7" xfId="19" applyNumberFormat="1" applyFont="1" applyBorder="1" applyAlignment="1">
      <x:alignment vertical="center"/>
    </x:xf>
    <x:xf numFmtId="2" fontId="50" fillId="0" borderId="9" xfId="19" applyNumberFormat="1" applyFont="1" applyBorder="1" applyAlignment="1">
      <x:alignment vertical="center"/>
    </x:xf>
    <x:xf numFmtId="1" fontId="28" fillId="0" borderId="2" xfId="19" applyNumberFormat="1" applyFont="1" applyBorder="1" applyAlignment="1">
      <x:alignment horizontal="left" vertical="center"/>
    </x:xf>
    <x:xf numFmtId="1" fontId="28" fillId="0" borderId="6" xfId="19" applyNumberFormat="1" applyFont="1" applyBorder="1" applyAlignment="1">
      <x:alignment horizontal="left" vertical="center"/>
    </x:xf>
    <x:xf numFmtId="2" fontId="22" fillId="0" borderId="8" xfId="19" applyNumberFormat="1" applyFont="1" applyBorder="1"/>
    <x:xf numFmtId="2" fontId="28" fillId="0" borderId="5" xfId="19" applyNumberFormat="1" applyFont="1" applyBorder="1"/>
    <x:xf numFmtId="2" fontId="28" fillId="0" borderId="15" xfId="19" applyNumberFormat="1" applyFont="1" applyBorder="1"/>
    <x:xf numFmtId="2" fontId="28" fillId="0" borderId="13" xfId="19" applyNumberFormat="1" applyFont="1" applyBorder="1"/>
    <x:xf numFmtId="2" fontId="22" fillId="0" borderId="2" xfId="19" applyNumberFormat="1" applyFont="1" applyBorder="1"/>
    <x:xf numFmtId="2" fontId="22" fillId="0" borderId="6" xfId="19" applyNumberFormat="1" applyFont="1" applyBorder="1"/>
    <x:xf numFmtId="1" fontId="22" fillId="0" borderId="0" xfId="19" applyNumberFormat="1" applyFont="1" applyBorder="1"/>
    <x:xf numFmtId="0" fontId="32" fillId="0" borderId="0" xfId="4" applyFont="1" applyAlignment="1">
      <x:alignment horizontal="left" vertical="center"/>
    </x:xf>
    <x:xf numFmtId="0" fontId="32" fillId="2" borderId="2" xfId="4" applyFont="1" applyFill="1" applyBorder="1" applyAlignment="1">
      <x:alignment horizontal="left" vertical="center"/>
    </x:xf>
    <x:xf numFmtId="0" fontId="32" fillId="2" borderId="6" xfId="4" applyFont="1" applyFill="1" applyBorder="1" applyAlignment="1">
      <x:alignment horizontal="left" vertical="center"/>
    </x:xf>
    <x:xf numFmtId="0" fontId="32" fillId="2" borderId="8" xfId="4" applyFont="1" applyFill="1" applyBorder="1" applyAlignment="1">
      <x:alignment horizontal="left" vertical="center"/>
    </x:xf>
    <x:xf numFmtId="0" fontId="55" fillId="0" borderId="0" xfId="0" applyFont="1"/>
    <x:xf numFmtId="0" fontId="55" fillId="0" borderId="0" xfId="5" applyFont="1"/>
    <x:xf numFmtId="165" fontId="12" fillId="2" borderId="0" xfId="6" applyNumberFormat="1" applyFont="1" applyFill="1" applyBorder="1" applyAlignment="1">
      <x:alignment horizontal="center"/>
    </x:xf>
    <x:xf numFmtId="0" fontId="12" fillId="0" borderId="0" xfId="5" applyFont="1" applyAlignment="1">
      <x:alignment horizontal="center"/>
    </x:xf>
    <x:xf numFmtId="165" fontId="12" fillId="2" borderId="1" xfId="6" applyNumberFormat="1" applyFont="1" applyFill="1" applyBorder="1" applyAlignment="1">
      <x:alignment horizontal="center"/>
    </x:xf>
    <x:xf numFmtId="165" fontId="12" fillId="2" borderId="9" xfId="6" applyNumberFormat="1" applyFont="1" applyFill="1" applyBorder="1" applyAlignment="1">
      <x:alignment horizontal="center"/>
    </x:xf>
    <x:xf numFmtId="165" fontId="12" fillId="2" borderId="4" xfId="6" applyNumberFormat="1" applyFont="1" applyFill="1" applyBorder="1" applyAlignment="1">
      <x:alignment horizontal="center"/>
    </x:xf>
    <x:xf numFmtId="165" fontId="12" fillId="2" borderId="3" xfId="6" applyNumberFormat="1" applyFont="1" applyFill="1" applyBorder="1" applyAlignment="1">
      <x:alignment horizontal="center"/>
    </x:xf>
    <x:xf numFmtId="0" fontId="32" fillId="0" borderId="0" xfId="5" applyFont="1"/>
    <x:xf numFmtId="0" fontId="31" fillId="0" borderId="0" xfId="5" applyFont="1"/>
    <x:xf numFmtId="164" fontId="33" fillId="0" borderId="0" xfId="19" applyNumberFormat="1" applyFont="1" applyBorder="1"/>
    <x:xf numFmtId="0" fontId="34" fillId="0" borderId="0" xfId="5" applyFont="1"/>
    <x:xf numFmtId="164" fontId="12" fillId="0" borderId="0" xfId="19" applyNumberFormat="1" applyFont="1" applyBorder="1"/>
    <x:xf numFmtId="0" fontId="5" fillId="0" borderId="0" xfId="4" applyFont="1" applyAlignment="1">
      <x:alignment horizontal="left" vertical="top"/>
    </x:xf>
    <x:xf numFmtId="0" fontId="16" fillId="0" borderId="0" xfId="4" applyFont="1"/>
    <x:xf numFmtId="3" fontId="16" fillId="0" borderId="0" xfId="4" applyNumberFormat="1" applyFont="1"/>
    <x:xf numFmtId="0" fontId="5" fillId="0" borderId="0" xfId="4" applyFont="1"/>
    <x:xf numFmtId="3" fontId="5" fillId="0" borderId="0" xfId="4" applyNumberFormat="1" applyFont="1"/>
    <x:xf numFmtId="0" fontId="3" fillId="0" borderId="0" xfId="5" applyAlignment="1">
      <x:alignment horizontal="center"/>
    </x:xf>
    <x:xf numFmtId="3" fontId="12" fillId="0" borderId="0" xfId="5" applyNumberFormat="1" applyFont="1"/>
    <x:xf numFmtId="165" fontId="6" fillId="2" borderId="2" xfId="6" applyNumberFormat="1" applyFont="1" applyFill="1" applyBorder="1" applyAlignment="1">
      <x:alignment horizontal="center"/>
    </x:xf>
    <x:xf numFmtId="164" fontId="23" fillId="7" borderId="8" xfId="19" applyNumberFormat="1" applyFont="1" applyFill="1" applyBorder="1" applyAlignment="1">
      <x:alignment horizontal="center" vertical="center"/>
    </x:xf>
    <x:xf numFmtId="164" fontId="23" fillId="7" borderId="14" xfId="19" applyNumberFormat="1" applyFont="1" applyFill="1" applyBorder="1" applyAlignment="1">
      <x:alignment horizontal="center" vertical="center"/>
    </x:xf>
    <x:xf numFmtId="0" fontId="23" fillId="16" borderId="14" xfId="15" applyFont="1" applyBorder="1" applyAlignment="1">
      <x:alignment horizontal="center" vertical="center"/>
    </x:xf>
    <x:xf numFmtId="0" fontId="23" fillId="16" borderId="10" xfId="15" applyFont="1" applyBorder="1" applyAlignment="1">
      <x:alignment horizontal="center" vertical="center"/>
    </x:xf>
    <x:xf numFmtId="0" fontId="23" fillId="10" borderId="12" xfId="10" applyFont="1" applyBorder="1" applyAlignment="1">
      <x:alignment horizontal="center" vertical="center"/>
    </x:xf>
    <x:xf numFmtId="0" fontId="23" fillId="10" borderId="14" xfId="10" applyFont="1" applyBorder="1" applyAlignment="1">
      <x:alignment horizontal="center" vertical="center"/>
    </x:xf>
    <x:xf numFmtId="0" fontId="23" fillId="8" borderId="11" xfId="8" applyFont="1" applyBorder="1" applyAlignment="1">
      <x:alignment horizontal="center" vertical="center"/>
    </x:xf>
    <x:xf numFmtId="0" fontId="23" fillId="8" borderId="14" xfId="8" applyFont="1" applyBorder="1" applyAlignment="1">
      <x:alignment horizontal="center" vertical="center"/>
    </x:xf>
    <x:xf numFmtId="0" fontId="23" fillId="12" borderId="11" xfId="12" applyFont="1" applyBorder="1" applyAlignment="1">
      <x:alignment horizontal="center" vertical="center"/>
    </x:xf>
    <x:xf numFmtId="0" fontId="23" fillId="12" borderId="14" xfId="12" applyFont="1" applyBorder="1" applyAlignment="1">
      <x:alignment horizontal="center" vertical="center"/>
    </x:xf>
    <x:xf numFmtId="164" fontId="23" fillId="16" borderId="14" xfId="19" applyNumberFormat="1" applyFont="1" applyFill="1" applyBorder="1" applyAlignment="1">
      <x:alignment horizontal="center" vertical="center"/>
    </x:xf>
    <x:xf numFmtId="164" fontId="23" fillId="8" borderId="14" xfId="19" applyNumberFormat="1" applyFont="1" applyFill="1" applyBorder="1" applyAlignment="1">
      <x:alignment horizontal="center" vertical="center"/>
    </x:xf>
    <x:xf numFmtId="2" fontId="50" fillId="5" borderId="8" xfId="19" applyNumberFormat="1" applyFont="1" applyFill="1" applyBorder="1" applyAlignment="1">
      <x:alignment horizontal="center" vertical="center"/>
    </x:xf>
    <x:xf numFmtId="2" fontId="50" fillId="5" borderId="9" xfId="19" applyNumberFormat="1" applyFont="1" applyFill="1" applyBorder="1" applyAlignment="1">
      <x:alignment horizontal="center" vertical="center"/>
    </x:xf>
    <x:xf numFmtId="1" fontId="50" fillId="5" borderId="9" xfId="19" applyNumberFormat="1" applyFont="1" applyFill="1" applyBorder="1" applyAlignment="1">
      <x:alignment horizontal="left" vertical="center"/>
    </x:xf>
    <x:xf numFmtId="1" fontId="50" fillId="5" borderId="8" xfId="19" applyNumberFormat="1" applyFont="1" applyFill="1" applyBorder="1" applyAlignment="1">
      <x:alignment horizontal="left" vertical="center"/>
    </x:xf>
    <x:xf numFmtId="1" fontId="50" fillId="5" borderId="9" xfId="19" applyNumberFormat="1" applyFont="1" applyFill="1" applyBorder="1" applyAlignment="1">
      <x:alignment horizontal="center" vertical="center"/>
    </x:xf>
    <x:xf numFmtId="164" fontId="50" fillId="5" borderId="8" xfId="19" applyNumberFormat="1" applyFont="1" applyFill="1" applyBorder="1" applyAlignment="1">
      <x:alignment horizontal="left" vertical="center"/>
    </x:xf>
    <x:xf numFmtId="164" fontId="50" fillId="5" borderId="9" xfId="19" applyNumberFormat="1" applyFont="1" applyFill="1" applyBorder="1" applyAlignment="1">
      <x:alignment horizontal="center" vertical="center"/>
    </x:xf>
    <x:xf numFmtId="165" fontId="6" fillId="2" borderId="8" xfId="6" applyNumberFormat="1" applyFont="1" applyFill="1" applyBorder="1" applyAlignment="1">
      <x:alignment horizontal="center"/>
    </x:xf>
    <x:xf numFmtId="165" fontId="7" fillId="6" borderId="20" xfId="6" applyNumberFormat="1" applyFont="1" applyFill="1" applyBorder="1" applyAlignment="1">
      <x:alignment horizontal="center" vertical="center"/>
    </x:xf>
    <x:xf numFmtId="165" fontId="7" fillId="6" borderId="21" xfId="6" applyNumberFormat="1" applyFont="1" applyFill="1" applyBorder="1" applyAlignment="1">
      <x:alignment horizontal="center" vertical="center"/>
    </x:xf>
    <x:xf numFmtId="165" fontId="7" fillId="6" borderId="7" xfId="6" applyNumberFormat="1" applyFont="1" applyFill="1" applyBorder="1" applyAlignment="1">
      <x:alignment horizontal="center" vertical="center"/>
    </x:xf>
    <x:xf numFmtId="165" fontId="12" fillId="6" borderId="17" xfId="6" applyNumberFormat="1" applyFont="1" applyFill="1" applyBorder="1" applyAlignment="1">
      <x:alignment horizontal="center"/>
    </x:xf>
    <x:xf numFmtId="165" fontId="12" fillId="6" borderId="18" xfId="6" applyNumberFormat="1" applyFont="1" applyFill="1" applyBorder="1" applyAlignment="1">
      <x:alignment horizontal="center"/>
    </x:xf>
    <x:xf numFmtId="165" fontId="18" fillId="6" borderId="19" xfId="6" applyNumberFormat="1" applyFont="1" applyFill="1" applyBorder="1" applyAlignment="1">
      <x:alignment horizontal="center"/>
    </x:xf>
    <x:xf numFmtId="165" fontId="56" fillId="5" borderId="22" xfId="6" applyNumberFormat="1" applyFont="1" applyFill="1" applyBorder="1" applyAlignment="1">
      <x:alignment horizontal="center" vertical="center"/>
    </x:xf>
    <x:xf numFmtId="165" fontId="56" fillId="5" borderId="23" xfId="6" applyNumberFormat="1" applyFont="1" applyFill="1" applyBorder="1" applyAlignment="1">
      <x:alignment horizontal="center" vertical="center"/>
    </x:xf>
    <x:xf numFmtId="165" fontId="56" fillId="5" borderId="3" xfId="6" applyNumberFormat="1" applyFont="1" applyFill="1" applyBorder="1" applyAlignment="1">
      <x:alignment horizontal="center" vertical="center"/>
    </x:xf>
    <x:xf numFmtId="165" fontId="18" fillId="5" borderId="17" xfId="6" applyNumberFormat="1" applyFont="1" applyFill="1" applyBorder="1" applyAlignment="1">
      <x:alignment horizontal="center"/>
    </x:xf>
    <x:xf numFmtId="165" fontId="18" fillId="5" borderId="18" xfId="6" applyNumberFormat="1" applyFont="1" applyFill="1" applyBorder="1" applyAlignment="1">
      <x:alignment horizontal="center"/>
    </x:xf>
    <x:xf numFmtId="0" fontId="4" fillId="2" borderId="6" xfId="4" applyFont="1" applyFill="1" applyBorder="1" applyAlignment="1">
      <x:alignment horizontal="center"/>
    </x:xf>
    <x:xf numFmtId="0" fontId="7" fillId="2" borderId="7" xfId="4" applyFont="1" applyFill="1" applyBorder="1" applyAlignment="1">
      <x:alignment horizontal="left"/>
    </x:xf>
    <x:xf numFmtId="0" fontId="4" fillId="2" borderId="8" xfId="4" applyFont="1" applyFill="1" applyBorder="1" applyAlignment="1">
      <x:alignment horizontal="center"/>
    </x:xf>
    <x:xf numFmtId="0" fontId="7" fillId="2" borderId="9" xfId="4" applyFont="1" applyFill="1" applyBorder="1" applyAlignment="1">
      <x:alignment horizontal="left"/>
    </x:xf>
    <x:xf numFmtId="0" fontId="4" fillId="0" borderId="6" xfId="4" applyFont="1" applyBorder="1" applyAlignment="1">
      <x:alignment horizontal="center"/>
    </x:xf>
    <x:xf numFmtId="0" fontId="7" fillId="0" borderId="0" xfId="4" applyFont="1" applyAlignment="1">
      <x:alignment horizontal="left"/>
    </x:xf>
    <x:xf numFmtId="165" fontId="6" fillId="0" borderId="2" xfId="6" applyNumberFormat="1" applyFont="1" applyFill="1" applyBorder="1" applyAlignment="1">
      <x:alignment horizontal="left"/>
    </x:xf>
    <x:xf numFmtId="165" fontId="12" fillId="0" borderId="4" xfId="6" applyNumberFormat="1" applyFont="1" applyFill="1" applyBorder="1" applyAlignment="1">
      <x:alignment horizontal="left"/>
    </x:xf>
    <x:xf numFmtId="165" fontId="12" fillId="0" borderId="3" xfId="6" applyNumberFormat="1" applyFont="1" applyFill="1" applyBorder="1" applyAlignment="1">
      <x:alignment horizontal="center"/>
    </x:xf>
    <x:xf numFmtId="165" fontId="6" fillId="0" borderId="6" xfId="6" applyNumberFormat="1" applyFont="1" applyFill="1" applyBorder="1" applyAlignment="1">
      <x:alignment horizontal="left"/>
    </x:xf>
    <x:xf numFmtId="165" fontId="12" fillId="0" borderId="0" xfId="6" applyNumberFormat="1" applyFont="1" applyFill="1" applyBorder="1" applyAlignment="1">
      <x:alignment horizontal="left"/>
    </x:xf>
    <x:xf numFmtId="165" fontId="12" fillId="0" borderId="7" xfId="6" applyNumberFormat="1" applyFont="1" applyFill="1" applyBorder="1" applyAlignment="1">
      <x:alignment horizontal="center"/>
    </x:xf>
    <x:xf numFmtId="0" fontId="4" fillId="0" borderId="8" xfId="4" applyFont="1" applyBorder="1" applyAlignment="1">
      <x:alignment horizontal="center"/>
    </x:xf>
    <x:xf numFmtId="0" fontId="7" fillId="0" borderId="1" xfId="4" applyFont="1" applyBorder="1" applyAlignment="1">
      <x:alignment horizontal="left"/>
    </x:xf>
    <x:xf numFmtId="165" fontId="6" fillId="0" borderId="8" xfId="6" applyNumberFormat="1" applyFont="1" applyFill="1" applyBorder="1" applyAlignment="1">
      <x:alignment horizontal="left"/>
    </x:xf>
    <x:xf numFmtId="165" fontId="12" fillId="0" borderId="1" xfId="6" applyNumberFormat="1" applyFont="1" applyFill="1" applyBorder="1" applyAlignment="1">
      <x:alignment horizontal="left"/>
    </x:xf>
    <x:xf numFmtId="165" fontId="12" fillId="0" borderId="9" xfId="6" applyNumberFormat="1" applyFont="1" applyFill="1" applyBorder="1" applyAlignment="1">
      <x:alignment horizontal="center"/>
    </x:xf>
    <x:xf numFmtId="165" fontId="12" fillId="0" borderId="0" xfId="6" applyNumberFormat="1" applyFont="1" applyFill="1" applyBorder="1" applyAlignment="1">
      <x:alignment horizontal="center"/>
    </x:xf>
    <x:xf numFmtId="167" fontId="12" fillId="0" borderId="0" xfId="19" applyNumberFormat="1" applyFont="1" applyFill="1" applyBorder="1" applyAlignment="1">
      <x:alignment horizontal="left"/>
    </x:xf>
    <x:xf numFmtId="0" fontId="57" fillId="20" borderId="16" xfId="0" applyFont="1" applyFill="1" applyBorder="1" applyAlignment="1">
      <x:alignment vertical="center" wrapText="1"/>
    </x:xf>
    <x:xf numFmtId="3" fontId="57" fillId="19" borderId="16" xfId="0" applyNumberFormat="1" applyFont="1" applyFill="1" applyBorder="1" applyAlignment="1">
      <x:alignment vertical="center" wrapText="1"/>
    </x:xf>
    <x:xf numFmtId="38" fontId="52" fillId="0" borderId="0" xfId="0" applyNumberFormat="1" applyFont="1" applyAlignment="1">
      <x:alignment horizontal="right" vertical="center"/>
    </x:xf>
    <x:xf numFmtId="2" fontId="50" fillId="5" borderId="11" xfId="19" applyNumberFormat="1" applyFont="1" applyFill="1" applyBorder="1" applyAlignment="1">
      <x:alignment horizontal="center" vertical="center"/>
    </x:xf>
    <x:xf numFmtId="2" fontId="50" fillId="5" borderId="10" xfId="19" applyNumberFormat="1" applyFont="1" applyFill="1" applyBorder="1" applyAlignment="1">
      <x:alignment horizontal="center" vertical="center"/>
    </x:xf>
    <x:xf numFmtId="38" fontId="28" fillId="0" borderId="0" xfId="19" applyNumberFormat="1" applyFont="1" applyBorder="1" applyAlignment="1">
      <x:alignment horizontal="center" vertical="center"/>
    </x:xf>
    <x:xf numFmtId="38" fontId="28" fillId="0" borderId="7" xfId="19" applyNumberFormat="1" applyFont="1" applyBorder="1" applyAlignment="1">
      <x:alignment horizontal="center" vertical="center"/>
    </x:xf>
    <x:xf numFmtId="38" fontId="28" fillId="0" borderId="1" xfId="19" applyNumberFormat="1" applyFont="1" applyBorder="1" applyAlignment="1">
      <x:alignment horizontal="center" vertical="center"/>
    </x:xf>
    <x:xf numFmtId="2" fontId="50" fillId="5" borderId="5" xfId="19" applyNumberFormat="1" applyFont="1" applyFill="1" applyBorder="1" applyAlignment="1">
      <x:alignment horizontal="left" vertical="center"/>
    </x:xf>
    <x:xf numFmtId="2" fontId="50" fillId="5" borderId="13" xfId="19" applyNumberFormat="1" applyFont="1" applyFill="1" applyBorder="1" applyAlignment="1">
      <x:alignment horizontal="left" vertical="center"/>
    </x:xf>
    <x:xf numFmtId="14" fontId="27" fillId="0" borderId="0" xfId="19" applyNumberFormat="1" applyFont="1" applyFill="1" applyAlignment="1">
      <x:alignment horizontal="center" vertical="center"/>
    </x:xf>
    <x:xf numFmtId="38" fontId="52" fillId="0" borderId="0" xfId="0" applyNumberFormat="1" applyFont="1" applyAlignment="1">
      <x:alignment vertical="center"/>
    </x:xf>
    <x:xf numFmtId="164" fontId="43" fillId="2" borderId="0" xfId="19" applyNumberFormat="1" applyFont="1" applyFill="1" applyAlignment="1">
      <x:alignment vertical="center"/>
    </x:xf>
    <x:xf numFmtId="2" fontId="14" fillId="5" borderId="0" xfId="19" applyNumberFormat="1" applyFont="1" applyFill="1" applyBorder="1" applyAlignment="1">
      <x:alignment horizontal="center" vertical="center"/>
    </x:xf>
    <x:xf numFmtId="2" fontId="51" fillId="5" borderId="2" xfId="19" applyNumberFormat="1" applyFont="1" applyFill="1" applyBorder="1" applyAlignment="1">
      <x:alignment horizontal="center" vertical="center"/>
    </x:xf>
    <x:xf numFmtId="2" fontId="51" fillId="5" borderId="4" xfId="19" applyNumberFormat="1" applyFont="1" applyFill="1" applyBorder="1" applyAlignment="1">
      <x:alignment horizontal="center" vertical="center"/>
    </x:xf>
    <x:xf numFmtId="2" fontId="51" fillId="5" borderId="3" xfId="19" applyNumberFormat="1" applyFont="1" applyFill="1" applyBorder="1" applyAlignment="1">
      <x:alignment horizontal="center" vertical="center"/>
    </x:xf>
    <x:xf numFmtId="2" fontId="51" fillId="5" borderId="6" xfId="19" applyNumberFormat="1" applyFont="1" applyFill="1" applyBorder="1" applyAlignment="1">
      <x:alignment horizontal="center" vertical="center"/>
    </x:xf>
    <x:xf numFmtId="2" fontId="51" fillId="5" borderId="0" xfId="19" applyNumberFormat="1" applyFont="1" applyFill="1" applyBorder="1" applyAlignment="1">
      <x:alignment horizontal="center" vertical="center"/>
    </x:xf>
    <x:xf numFmtId="2" fontId="51" fillId="5" borderId="7" xfId="19" applyNumberFormat="1" applyFont="1" applyFill="1" applyBorder="1" applyAlignment="1">
      <x:alignment horizontal="center" vertical="center"/>
    </x:xf>
    <x:xf numFmtId="164" fontId="22" fillId="2" borderId="0" xfId="19" applyNumberFormat="1" applyFont="1" applyFill="1" applyBorder="1" applyAlignment="1">
      <x:alignment horizontal="right" vertical="center"/>
    </x:xf>
    <x:xf numFmtId="164" fontId="43" fillId="2" borderId="0" xfId="19" applyNumberFormat="1" applyFont="1" applyFill="1" applyAlignment="1">
      <x:alignment horizontal="center"/>
    </x:xf>
    <x:xf numFmtId="38" fontId="28" fillId="0" borderId="9" xfId="19" applyNumberFormat="1" applyFont="1" applyBorder="1" applyAlignment="1">
      <x:alignment horizontal="center" vertical="center"/>
    </x:xf>
    <x:xf numFmtId="37" fontId="50" fillId="5" borderId="8" xfId="19" applyNumberFormat="1" applyFont="1" applyFill="1" applyBorder="1" applyAlignment="1">
      <x:alignment horizontal="center" vertical="center"/>
    </x:xf>
    <x:xf numFmtId="37" fontId="50" fillId="5" borderId="1" xfId="19" applyNumberFormat="1" applyFont="1" applyFill="1" applyBorder="1" applyAlignment="1">
      <x:alignment horizontal="center" vertical="center"/>
    </x:xf>
    <x:xf numFmtId="37" fontId="50" fillId="5" borderId="9" xfId="19" applyNumberFormat="1" applyFont="1" applyFill="1" applyBorder="1" applyAlignment="1">
      <x:alignment horizontal="center" vertical="center"/>
    </x:xf>
    <x:xf numFmtId="38" fontId="28" fillId="0" borderId="4" xfId="19" applyNumberFormat="1" applyFont="1" applyBorder="1" applyAlignment="1">
      <x:alignment horizontal="center" vertical="center"/>
    </x:xf>
    <x:xf numFmtId="38" fontId="28" fillId="0" borderId="3" xfId="19" applyNumberFormat="1" applyFont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7" fillId="6" borderId="22" xfId="4" applyFont="1" applyFill="1" applyBorder="1" applyAlignment="1">
      <x:alignment horizontal="center" vertical="center"/>
    </x:xf>
    <x:xf numFmtId="0" fontId="7" fillId="6" borderId="17" xfId="4" applyFont="1" applyFill="1" applyBorder="1" applyAlignment="1">
      <x:alignment horizontal="center" vertical="center"/>
    </x:xf>
    <x:xf numFmtId="0" fontId="7" fillId="6" borderId="3" xfId="4" applyFont="1" applyFill="1" applyBorder="1" applyAlignment="1">
      <x:alignment horizontal="center" vertical="center"/>
    </x:xf>
    <x:xf numFmtId="0" fontId="7" fillId="6" borderId="9" xfId="4" applyFont="1" applyFill="1" applyBorder="1" applyAlignment="1">
      <x:alignment horizontal="center" vertical="center"/>
    </x:xf>
    <x:xf numFmtId="14" fontId="13" fillId="6" borderId="11" xfId="4" applyNumberFormat="1" applyFont="1" applyFill="1" applyBorder="1" applyAlignment="1">
      <x:alignment horizontal="center" vertical="center" wrapText="1"/>
    </x:xf>
    <x:xf numFmtId="14" fontId="13" fillId="6" borderId="12" xfId="4" applyNumberFormat="1" applyFont="1" applyFill="1" applyBorder="1" applyAlignment="1">
      <x:alignment horizontal="center" vertical="center" wrapText="1"/>
    </x:xf>
    <x:xf numFmtId="14" fontId="13" fillId="6" borderId="12" xfId="4" applyNumberFormat="1" applyFont="1" applyFill="1" applyBorder="1" applyAlignment="1">
      <x:alignment horizontal="center" vertical="center"/>
    </x:xf>
    <x:xf numFmtId="14" fontId="13" fillId="6" borderId="10" xfId="4" applyNumberFormat="1" applyFont="1" applyFill="1" applyBorder="1" applyAlignment="1">
      <x:alignment horizontal="center" vertical="center"/>
    </x:xf>
    <x:xf numFmtId="16" fontId="46" fillId="0" borderId="0" xfId="4" applyNumberFormat="1" applyFont="1" applyAlignment="1">
      <x:alignment horizontal="center" vertical="center"/>
    </x:xf>
    <x:xf numFmtId="0" fontId="22" fillId="10" borderId="11" xfId="10" applyFont="1" applyBorder="1" applyAlignment="1">
      <x:alignment horizontal="center"/>
    </x:xf>
    <x:xf numFmtId="0" fontId="22" fillId="10" borderId="10" xfId="10" applyFont="1" applyBorder="1" applyAlignment="1">
      <x:alignment horizontal="center"/>
    </x:xf>
    <x:xf numFmtId="0" fontId="22" fillId="16" borderId="11" xfId="15" applyFont="1" applyBorder="1" applyAlignment="1">
      <x:alignment horizontal="center"/>
    </x:xf>
    <x:xf numFmtId="0" fontId="22" fillId="16" borderId="10" xfId="15" applyFont="1" applyBorder="1" applyAlignment="1">
      <x:alignment horizontal="center"/>
    </x:xf>
    <x:xf numFmtId="0" fontId="22" fillId="8" borderId="11" xfId="8" applyFont="1" applyBorder="1" applyAlignment="1">
      <x:alignment horizontal="center"/>
    </x:xf>
    <x:xf numFmtId="0" fontId="22" fillId="8" borderId="10" xfId="8" applyFont="1" applyBorder="1" applyAlignment="1">
      <x:alignment horizontal="center"/>
    </x:xf>
    <x:xf numFmtId="164" fontId="22" fillId="7" borderId="11" xfId="19" applyNumberFormat="1" applyFont="1" applyFill="1" applyBorder="1" applyAlignment="1">
      <x:alignment horizontal="center"/>
    </x:xf>
    <x:xf numFmtId="164" fontId="22" fillId="7" borderId="10" xfId="19" applyNumberFormat="1" applyFont="1" applyFill="1" applyBorder="1" applyAlignment="1">
      <x:alignment horizontal="center"/>
    </x:xf>
    <x:xf numFmtId="0" fontId="22" fillId="8" borderId="11" xfId="8" applyFont="1" applyBorder="1" applyAlignment="1">
      <x:alignment horizontal="center" vertical="center"/>
    </x:xf>
    <x:xf numFmtId="0" fontId="22" fillId="8" borderId="10" xfId="8" applyFont="1" applyBorder="1" applyAlignment="1">
      <x:alignment horizontal="center" vertical="center"/>
    </x:xf>
    <x:xf numFmtId="0" fontId="22" fillId="12" borderId="11" xfId="12" applyFont="1" applyBorder="1" applyAlignment="1">
      <x:alignment horizontal="center" vertical="center"/>
    </x:xf>
    <x:xf numFmtId="0" fontId="22" fillId="12" borderId="10" xfId="12" applyFont="1" applyBorder="1" applyAlignment="1">
      <x:alignment horizontal="center" vertical="center"/>
    </x:xf>
    <x:xf numFmtId="37" fontId="28" fillId="0" borderId="0" xfId="0" applyNumberFormat="1" applyFont="1" applyAlignment="1">
      <x:alignment horizontal="center" vertical="center"/>
    </x:xf>
    <x:xf numFmtId="37" fontId="28" fillId="0" borderId="7" xfId="0" applyNumberFormat="1" applyFont="1" applyBorder="1" applyAlignment="1">
      <x:alignment horizontal="center" vertical="center"/>
    </x:xf>
    <x:xf numFmtId="0" fontId="22" fillId="12" borderId="11" xfId="12" applyFont="1" applyBorder="1" applyAlignment="1">
      <x:alignment horizontal="center"/>
    </x:xf>
    <x:xf numFmtId="0" fontId="22" fillId="12" borderId="10" xfId="12" applyFont="1" applyBorder="1" applyAlignment="1">
      <x:alignment horizontal="center"/>
    </x:xf>
    <x:xf numFmtId="164" fontId="28" fillId="0" borderId="0" xfId="19" applyNumberFormat="1" applyFont="1" applyBorder="1" applyAlignment="1">
      <x:alignment horizontal="right" vertical="center"/>
    </x:xf>
    <x:xf numFmtId="0" fontId="22" fillId="6" borderId="5" xfId="4" applyFont="1" applyFill="1" applyBorder="1" applyAlignment="1">
      <x:alignment horizontal="left" vertical="center"/>
    </x:xf>
    <x:xf numFmtId="0" fontId="22" fillId="6" borderId="13" xfId="4" applyFont="1" applyFill="1" applyBorder="1" applyAlignment="1">
      <x:alignment horizontal="left" vertical="center"/>
    </x:xf>
    <x:xf numFmtId="0" fontId="32" fillId="2" borderId="0" xfId="4" applyFont="1" applyFill="1" applyAlignment="1">
      <x:alignment horizontal="left"/>
    </x:xf>
    <x:xf numFmtId="3" fontId="32" fillId="2" borderId="0" xfId="4" applyNumberFormat="1" applyFont="1" applyFill="1" applyAlignment="1">
      <x:alignment horizontal="center" vertical="center"/>
    </x:xf>
    <x:xf numFmtId="3" fontId="48" fillId="2" borderId="0" xfId="4" applyNumberFormat="1" applyFont="1" applyFill="1" applyAlignment="1">
      <x:alignment horizontal="right"/>
    </x:xf>
    <x:xf numFmtId="164" fontId="32" fillId="2" borderId="0" xfId="19" applyNumberFormat="1" applyFont="1" applyFill="1" applyAlignment="1">
      <x:alignment horizontal="right"/>
    </x:xf>
    <x:xf numFmtId="3" fontId="32" fillId="0" borderId="0" xfId="4" applyNumberFormat="1" applyFont="1" applyAlignment="1">
      <x:alignment horizontal="center"/>
    </x:xf>
    <x:xf numFmtId="3" fontId="47" fillId="2" borderId="0" xfId="4" applyNumberFormat="1" applyFont="1" applyFill="1" applyAlignment="1">
      <x:alignment horizontal="left"/>
    </x:xf>
    <x:xf numFmtId="14" fontId="41" fillId="0" borderId="0" xfId="19" applyNumberFormat="1" applyFont="1" applyFill="1" applyAlignment="1">
      <x:alignment horizontal="center" vertical="center"/>
    </x:xf>
    <x:xf numFmtId="0" fontId="42" fillId="2" borderId="0" xfId="4" applyFont="1" applyFill="1" applyAlignment="1">
      <x:alignment horizontal="center"/>
    </x:xf>
    <x:xf numFmtId="0" fontId="42" fillId="2" borderId="0" xfId="4" applyFont="1" applyFill="1" applyAlignment="1">
      <x:alignment horizontal="left"/>
    </x:xf>
    <x:xf numFmtId="3" fontId="42" fillId="2" borderId="0" xfId="4" applyNumberFormat="1" applyFont="1" applyFill="1" applyAlignment="1">
      <x:alignment horizontal="center" vertical="center"/>
    </x:xf>
    <x:xf numFmtId="3" fontId="44" fillId="2" borderId="0" xfId="4" applyNumberFormat="1" applyFont="1" applyFill="1" applyAlignment="1">
      <x:alignment horizontal="right"/>
    </x:xf>
    <x:xf numFmtId="0" fontId="53" fillId="6" borderId="0" xfId="0" applyFont="1" applyFill="1" applyAlignment="1">
      <x:alignment horizontal="center"/>
    </x:xf>
    <x:xf numFmtId="3" fontId="43" fillId="6" borderId="1" xfId="14" applyNumberFormat="1" applyFont="1" applyFill="1" applyBorder="1" applyAlignment="1">
      <x:alignment horizontal="center" vertical="center"/>
    </x:xf>
    <x:xf numFmtId="3" fontId="43" fillId="6" borderId="9" xfId="14" applyNumberFormat="1" applyFont="1" applyFill="1" applyBorder="1" applyAlignment="1">
      <x:alignment horizontal="center" vertical="center"/>
    </x:xf>
    <x:xf numFmtId="164" fontId="28" fillId="0" borderId="0" xfId="19" applyNumberFormat="1" applyFont="1" applyAlignment="1">
      <x:alignment vertical="center"/>
    </x:xf>
    <x:xf numFmtId="164" fontId="52" fillId="0" borderId="0" xfId="19" applyNumberFormat="1" applyFont="1" applyAlignment="1">
      <x:alignment horizontal="center"/>
    </x:xf>
    <x:xf numFmtId="0" fontId="23" fillId="0" borderId="0" xfId="4" applyFont="1" applyAlignment="1">
      <x:alignment horizontal="left" vertical="center"/>
    </x:xf>
    <x:xf numFmtId="38" fontId="28" fillId="0" borderId="0" xfId="0" applyNumberFormat="1" applyFont="1" applyAlignment="1">
      <x:alignment vertical="center"/>
    </x:xf>
    <x:xf numFmtId="0" fontId="22" fillId="2" borderId="0" xfId="4" applyFont="1" applyFill="1" applyAlignment="1">
      <x:alignment horizontal="left" vertical="center"/>
    </x:xf>
    <x:xf numFmtId="0" fontId="45" fillId="6" borderId="2" xfId="4" applyFont="1" applyFill="1" applyBorder="1" applyAlignment="1">
      <x:alignment horizontal="center" vertical="center"/>
    </x:xf>
    <x:xf numFmtId="0" fontId="45" fillId="6" borderId="3" xfId="4" applyFont="1" applyFill="1" applyBorder="1" applyAlignment="1">
      <x:alignment horizontal="center" vertical="center"/>
    </x:xf>
    <x:xf numFmtId="0" fontId="45" fillId="6" borderId="6" xfId="4" applyFont="1" applyFill="1" applyBorder="1" applyAlignment="1">
      <x:alignment horizontal="center" vertical="center"/>
    </x:xf>
    <x:xf numFmtId="0" fontId="45" fillId="6" borderId="7" xfId="4" applyFont="1" applyFill="1" applyBorder="1" applyAlignment="1">
      <x:alignment horizontal="center" vertical="center"/>
    </x:xf>
    <x:xf numFmtId="0" fontId="45" fillId="6" borderId="4" xfId="4" applyFont="1" applyFill="1" applyBorder="1" applyAlignment="1">
      <x:alignment horizontal="center" vertical="center"/>
    </x:xf>
    <x:xf numFmtId="0" fontId="45" fillId="6" borderId="0" xfId="4" applyFont="1" applyFill="1" applyAlignment="1">
      <x:alignment horizontal="center" vertical="center"/>
    </x:xf>
    <x:xf numFmtId="3" fontId="43" fillId="6" borderId="8" xfId="14" applyNumberFormat="1" applyFont="1" applyFill="1" applyBorder="1" applyAlignment="1">
      <x:alignment horizontal="center" vertical="center"/>
    </x:xf>
    <x:xf numFmtId="37" fontId="28" fillId="0" borderId="4" xfId="0" applyNumberFormat="1" applyFont="1" applyBorder="1" applyAlignment="1">
      <x:alignment horizontal="center" vertical="center"/>
    </x:xf>
    <x:xf numFmtId="37" fontId="28" fillId="0" borderId="3" xfId="0" applyNumberFormat="1" applyFont="1" applyBorder="1" applyAlignment="1">
      <x:alignment horizontal="center" vertical="center"/>
    </x:xf>
    <x:xf numFmtId="0" fontId="22" fillId="6" borderId="0" xfId="4" applyFont="1" applyFill="1" applyAlignment="1">
      <x:alignment horizontal="center" vertical="center"/>
    </x:xf>
    <x:xf numFmtId="164" fontId="22" fillId="2" borderId="0" xfId="19" applyNumberFormat="1" applyFont="1" applyFill="1" applyBorder="1" applyAlignment="1">
      <x:alignment horizontal="right" vertical="center"/>
    </x:xf>
    <x:xf numFmtId="37" fontId="28" fillId="0" borderId="1" xfId="0" applyNumberFormat="1" applyFont="1" applyBorder="1" applyAlignment="1">
      <x:alignment horizontal="center" vertical="center"/>
    </x:xf>
    <x:xf numFmtId="37" fontId="28" fillId="0" borderId="9" xfId="0" applyNumberFormat="1" applyFont="1" applyBorder="1" applyAlignment="1">
      <x:alignment horizontal="center" vertical="center"/>
    </x:xf>
    <x:xf numFmtId="0" fontId="56" fillId="5" borderId="2" xfId="4" applyFont="1" applyFill="1" applyBorder="1" applyAlignment="1">
      <x:alignment horizontal="center" vertical="center"/>
    </x:xf>
    <x:xf numFmtId="0" fontId="56" fillId="5" borderId="8" xfId="4" applyFont="1" applyFill="1" applyBorder="1" applyAlignment="1">
      <x:alignment horizontal="center" vertical="center"/>
    </x:xf>
    <x:xf numFmtId="0" fontId="56" fillId="5" borderId="24" xfId="4" applyFont="1" applyFill="1" applyBorder="1" applyAlignment="1">
      <x:alignment horizontal="center" vertical="center"/>
    </x:xf>
    <x:xf numFmtId="0" fontId="56" fillId="5" borderId="19" xfId="4" applyFont="1" applyFill="1" applyBorder="1" applyAlignment="1">
      <x:alignment horizontal="center" vertical="center"/>
    </x:xf>
    <x:xf numFmtId="14" fontId="29" fillId="5" borderId="0" xfId="4" applyNumberFormat="1" applyFont="1" applyFill="1" applyAlignment="1">
      <x:alignment horizontal="center" vertical="center" wrapText="1"/>
    </x:xf>
    <x:xf numFmtId="14" fontId="29" fillId="5" borderId="12" xfId="4" applyNumberFormat="1" applyFont="1" applyFill="1" applyBorder="1" applyAlignment="1">
      <x:alignment horizontal="center" vertical="center"/>
    </x:xf>
    <x:xf numFmtId="14" fontId="29" fillId="5" borderId="10" xfId="4" applyNumberFormat="1" applyFont="1" applyFill="1" applyBorder="1" applyAlignment="1">
      <x:alignment horizontal="center" vertical="center"/>
    </x:xf>
    <x:xf numFmtId="0" fontId="58" fillId="19" borderId="16" xfId="0" applyFont="1" applyFill="1" applyBorder="1" applyAlignment="1">
      <x:alignment horizontal="center" vertical="center" wrapText="1"/>
    </x:xf>
    <x:xf numFmtId="0" fontId="59" fillId="20" borderId="16" xfId="0" applyFont="1" applyFill="1" applyBorder="1" applyAlignment="1">
      <x:alignment vertical="center" wrapText="1"/>
    </x:xf>
    <x:xf numFmtId="3" fontId="59" fillId="19" borderId="16" xfId="0" applyNumberFormat="1" applyFont="1" applyFill="1" applyBorder="1" applyAlignment="1">
      <x:alignment vertical="center" wrapText="1"/>
    </x:xf>
    <x:xf numFmtId="0" fontId="60" fillId="19" borderId="16" xfId="0" applyNumberFormat="1" applyFont="1" applyFill="1" applyBorder="1" applyAlignment="1">
      <x:alignment horizontal="center" vertical="center" wrapText="1"/>
    </x:xf>
    <x:xf numFmtId="0" fontId="60" fillId="0" borderId="0" xfId="0" applyNumberFormat="1" applyFont="1" applyFill="1" applyBorder="1"/>
    <x:xf numFmtId="0" fontId="60" fillId="5" borderId="0" xfId="0" applyNumberFormat="1" applyFont="1" applyFill="1" applyBorder="1"/>
    <x:xf numFmtId="0" fontId="60" fillId="20" borderId="16" xfId="0" applyNumberFormat="1" applyFont="1" applyFill="1" applyBorder="1" applyAlignment="1">
      <x:alignment vertical="center" wrapText="1"/>
    </x:xf>
    <x:xf numFmtId="3" fontId="60" fillId="19" borderId="16" xfId="0" applyNumberFormat="1" applyFont="1" applyFill="1" applyBorder="1" applyAlignment="1">
      <x:alignment vertical="center" wrapText="1"/>
    </x:xf>
    <x:xf numFmtId="3" fontId="60" fillId="0" borderId="0" xfId="0" applyNumberFormat="1" applyFont="1" applyFill="1" applyBorder="1"/>
    <x:xf numFmtId="0" fontId="60" fillId="0" borderId="0" xfId="0" applyNumberFormat="1" applyFont="1" applyFill="1" applyBorder="1" applyAlignment="1">
      <x:alignment vertical="center"/>
    </x:xf>
    <x:xf numFmtId="0" fontId="60" fillId="5" borderId="0" xfId="0" applyNumberFormat="1" applyFont="1" applyFill="1" applyBorder="1" applyAlignment="1">
      <x:alignment vertical="center"/>
    </x:xf>
    <x:xf numFmtId="3" fontId="60" fillId="0" borderId="0" xfId="0" applyNumberFormat="1" applyFont="1" applyFill="1" applyBorder="1" applyAlignment="1">
      <x:alignment vertical="center"/>
    </x:xf>
    <x:xf numFmtId="0" fontId="60" fillId="19" borderId="25" xfId="0" applyNumberFormat="1" applyFont="1" applyFill="1" applyBorder="1" applyAlignment="1">
      <x:alignment horizontal="center" vertical="center" wrapText="1"/>
    </x:xf>
    <x:xf numFmtId="0" fontId="60" fillId="0" borderId="26" xfId="0" applyNumberFormat="1" applyFont="1" applyFill="1" applyBorder="1" applyAlignment="1">
      <x:alignment vertical="center"/>
    </x:xf>
    <x:xf numFmtId="0" fontId="60" fillId="5" borderId="26" xfId="0" applyNumberFormat="1" applyFont="1" applyFill="1" applyBorder="1" applyAlignment="1">
      <x:alignment vertical="center"/>
    </x:xf>
    <x:xf numFmtId="0" fontId="60" fillId="5" borderId="27" xfId="0" applyNumberFormat="1" applyFont="1" applyFill="1" applyBorder="1" applyAlignment="1">
      <x:alignment vertical="center"/>
    </x:xf>
    <x:xf numFmtId="0" fontId="60" fillId="0" borderId="28" xfId="0" applyNumberFormat="1" applyFont="1" applyFill="1" applyBorder="1" applyAlignment="1">
      <x:alignment vertical="center"/>
    </x:xf>
    <x:xf numFmtId="0" fontId="60" fillId="20" borderId="29" xfId="0" applyNumberFormat="1" applyFont="1" applyFill="1" applyBorder="1" applyAlignment="1">
      <x:alignment vertical="center" wrapText="1"/>
    </x:xf>
    <x:xf numFmtId="0" fontId="60" fillId="0" borderId="30" xfId="0" applyNumberFormat="1" applyFont="1" applyFill="1" applyBorder="1" applyAlignment="1">
      <x:alignment vertical="center"/>
    </x:xf>
    <x:xf numFmtId="0" fontId="60" fillId="0" borderId="31" xfId="0" applyNumberFormat="1" applyFont="1" applyFill="1" applyBorder="1" applyAlignment="1">
      <x:alignment vertical="center"/>
    </x:xf>
    <x:xf numFmtId="3" fontId="60" fillId="19" borderId="29" xfId="0" applyNumberFormat="1" applyFont="1" applyFill="1" applyBorder="1" applyAlignment="1">
      <x:alignment vertical="center" wrapText="1"/>
    </x:xf>
    <x:xf numFmtId="3" fontId="60" fillId="0" borderId="30" xfId="0" applyNumberFormat="1" applyFont="1" applyFill="1" applyBorder="1" applyAlignment="1">
      <x:alignment vertical="center"/>
    </x:xf>
    <x:xf numFmtId="0" fontId="60" fillId="0" borderId="32" xfId="0" applyNumberFormat="1" applyFont="1" applyFill="1" applyBorder="1" applyAlignment="1">
      <x:alignment vertical="center"/>
    </x:xf>
    <x:xf numFmtId="0" fontId="60" fillId="0" borderId="33" xfId="0" applyNumberFormat="1" applyFont="1" applyFill="1" applyBorder="1" applyAlignment="1">
      <x:alignment vertical="center"/>
    </x:xf>
    <x:xf numFmtId="0" fontId="60" fillId="0" borderId="34" xfId="0" applyNumberFormat="1" applyFont="1" applyFill="1" applyBorder="1" applyAlignment="1">
      <x:alignment vertical="center"/>
    </x:xf>
    <x:xf numFmtId="0" fontId="60" fillId="23" borderId="25" xfId="0" applyNumberFormat="1" applyFont="1" applyFill="1" applyBorder="1" applyAlignment="1">
      <x:alignment horizontal="center" vertical="center" wrapText="1"/>
    </x:xf>
    <x:xf numFmtId="0" fontId="60" fillId="23" borderId="26" xfId="0" applyNumberFormat="1" applyFont="1" applyFill="1" applyBorder="1" applyAlignment="1">
      <x:alignment vertical="center"/>
    </x:xf>
    <x:xf numFmtId="0" fontId="60" fillId="23" borderId="27" xfId="0" applyNumberFormat="1" applyFont="1" applyFill="1" applyBorder="1" applyAlignment="1">
      <x:alignment vertical="center"/>
    </x:xf>
    <x:xf numFmtId="0" fontId="60" fillId="23" borderId="28" xfId="0" applyNumberFormat="1" applyFont="1" applyFill="1" applyBorder="1" applyAlignment="1">
      <x:alignment vertical="center"/>
    </x:xf>
    <x:xf numFmtId="0" fontId="60" fillId="23" borderId="29" xfId="0" applyNumberFormat="1" applyFont="1" applyFill="1" applyBorder="1" applyAlignment="1">
      <x:alignment vertical="center" wrapText="1"/>
    </x:xf>
    <x:xf numFmtId="0" fontId="60" fillId="23" borderId="30" xfId="0" applyNumberFormat="1" applyFont="1" applyFill="1" applyBorder="1" applyAlignment="1">
      <x:alignment vertical="center"/>
    </x:xf>
    <x:xf numFmtId="0" fontId="60" fillId="23" borderId="31" xfId="0" applyNumberFormat="1" applyFont="1" applyFill="1" applyBorder="1" applyAlignment="1">
      <x:alignment vertical="center"/>
    </x:xf>
    <x:xf numFmtId="0" fontId="61" fillId="23" borderId="25" xfId="0" applyNumberFormat="1" applyFont="1" applyFill="1" applyBorder="1" applyAlignment="1">
      <x:alignment horizontal="center" vertical="center" wrapText="1"/>
    </x:xf>
    <x:xf numFmtId="0" fontId="61" fillId="23" borderId="26" xfId="0" applyNumberFormat="1" applyFont="1" applyFill="1" applyBorder="1" applyAlignment="1">
      <x:alignment vertical="center"/>
    </x:xf>
    <x:xf numFmtId="0" fontId="61" fillId="23" borderId="27" xfId="0" applyNumberFormat="1" applyFont="1" applyFill="1" applyBorder="1" applyAlignment="1">
      <x:alignment vertical="center"/>
    </x:xf>
    <x:xf numFmtId="0" fontId="61" fillId="23" borderId="28" xfId="0" applyNumberFormat="1" applyFont="1" applyFill="1" applyBorder="1" applyAlignment="1">
      <x:alignment vertical="center"/>
    </x:xf>
    <x:xf numFmtId="0" fontId="61" fillId="23" borderId="29" xfId="0" applyNumberFormat="1" applyFont="1" applyFill="1" applyBorder="1" applyAlignment="1">
      <x:alignment vertical="center" wrapText="1"/>
    </x:xf>
    <x:xf numFmtId="0" fontId="61" fillId="23" borderId="30" xfId="0" applyNumberFormat="1" applyFont="1" applyFill="1" applyBorder="1" applyAlignment="1">
      <x:alignment vertical="center"/>
    </x:xf>
    <x:xf numFmtId="0" fontId="61" fillId="23" borderId="31" xfId="0" applyNumberFormat="1" applyFont="1" applyFill="1" applyBorder="1" applyAlignment="1">
      <x:alignment vertical="center"/>
    </x:xf>
    <x:xf numFmtId="0" fontId="60" fillId="24" borderId="29" xfId="0" applyNumberFormat="1" applyFont="1" applyFill="1" applyBorder="1" applyAlignment="1">
      <x:alignment vertical="center" wrapText="1"/>
    </x:xf>
    <x:xf numFmtId="0" fontId="60" fillId="24" borderId="30" xfId="0" applyNumberFormat="1" applyFont="1" applyFill="1" applyBorder="1" applyAlignment="1">
      <x:alignment vertical="center"/>
    </x:xf>
    <x:xf numFmtId="0" fontId="60" fillId="24" borderId="31" xfId="0" applyNumberFormat="1" applyFont="1" applyFill="1" applyBorder="1" applyAlignment="1">
      <x:alignment vertical="center"/>
    </x:xf>
    <x:xf numFmtId="0" fontId="62" fillId="24" borderId="29" xfId="0" applyNumberFormat="1" applyFont="1" applyFill="1" applyBorder="1" applyAlignment="1">
      <x:alignment vertical="center" wrapText="1"/>
    </x:xf>
    <x:xf numFmtId="0" fontId="62" fillId="24" borderId="30" xfId="0" applyNumberFormat="1" applyFont="1" applyFill="1" applyBorder="1" applyAlignment="1">
      <x:alignment vertical="center"/>
    </x:xf>
    <x:xf numFmtId="0" fontId="62" fillId="24" borderId="31" xfId="0" applyNumberFormat="1" applyFont="1" applyFill="1" applyBorder="1" applyAlignment="1">
      <x:alignment vertical="center"/>
    </x:xf>
    <x:xf numFmtId="0" fontId="62" fillId="24" borderId="35" xfId="0" applyNumberFormat="1" applyFont="1" applyFill="1" applyBorder="1" applyAlignment="1">
      <x:alignment vertical="center" wrapText="1"/>
    </x:xf>
    <x:xf numFmtId="0" fontId="62" fillId="24" borderId="35" xfId="0" applyNumberFormat="1" applyFont="1" applyFill="1" applyBorder="1" applyAlignment="1">
      <x:alignment vertical="center"/>
    </x:xf>
    <x:xf numFmtId="0" fontId="62" fillId="24" borderId="35" xfId="0" applyNumberFormat="1" applyFont="1" applyFill="1" applyBorder="1" applyAlignment="1">
      <x:alignment horizontal="center" vertical="center" wrapText="1"/>
    </x:xf>
    <x:xf numFmtId="0" fontId="60" fillId="25" borderId="29" xfId="0" applyNumberFormat="1" applyFont="1" applyFill="1" applyBorder="1" applyAlignment="1">
      <x:alignment vertical="center" wrapText="1"/>
    </x:xf>
    <x:xf numFmtId="3" fontId="60" fillId="25" borderId="29" xfId="0" applyNumberFormat="1" applyFont="1" applyFill="1" applyBorder="1" applyAlignment="1">
      <x:alignment vertical="center" wrapText="1"/>
    </x:xf>
    <x:xf numFmtId="0" fontId="60" fillId="25" borderId="30" xfId="0" applyNumberFormat="1" applyFont="1" applyFill="1" applyBorder="1" applyAlignment="1">
      <x:alignment vertical="center"/>
    </x:xf>
    <x:xf numFmtId="0" fontId="60" fillId="25" borderId="31" xfId="0" applyNumberFormat="1" applyFont="1" applyFill="1" applyBorder="1" applyAlignment="1">
      <x:alignment vertical="center"/>
    </x:xf>
    <x:xf numFmtId="0" fontId="60" fillId="25" borderId="28" xfId="0" applyNumberFormat="1" applyFont="1" applyFill="1" applyBorder="1" applyAlignment="1">
      <x:alignment vertical="center"/>
    </x:xf>
    <x:xf numFmtId="0" fontId="60" fillId="25" borderId="32" xfId="0" applyNumberFormat="1" applyFont="1" applyFill="1" applyBorder="1" applyAlignment="1">
      <x:alignment vertical="center"/>
    </x:xf>
    <x:xf numFmtId="0" fontId="60" fillId="25" borderId="33" xfId="0" applyNumberFormat="1" applyFont="1" applyFill="1" applyBorder="1" applyAlignment="1">
      <x:alignment vertical="center"/>
    </x:xf>
    <x:xf numFmtId="0" fontId="60" fillId="25" borderId="34" xfId="0" applyNumberFormat="1" applyFont="1" applyFill="1" applyBorder="1" applyAlignment="1">
      <x:alignment vertical="center"/>
    </x:xf>
    <x:xf numFmtId="0" fontId="63" fillId="23" borderId="25" xfId="0" applyNumberFormat="1" applyFont="1" applyFill="1" applyBorder="1" applyAlignment="1">
      <x:alignment horizontal="center" vertical="center" wrapText="1"/>
    </x:xf>
    <x:xf numFmtId="0" fontId="63" fillId="23" borderId="28" xfId="0" applyNumberFormat="1" applyFont="1" applyFill="1" applyBorder="1" applyAlignment="1">
      <x:alignment vertical="center"/>
    </x:xf>
    <x:xf numFmtId="0" fontId="64" fillId="24" borderId="35" xfId="0" applyNumberFormat="1" applyFont="1" applyFill="1" applyBorder="1" applyAlignment="1">
      <x:alignment horizontal="center" vertical="center" wrapText="1"/>
    </x:xf>
    <x:xf numFmtId="0" fontId="64" fillId="25" borderId="29" xfId="0" applyNumberFormat="1" applyFont="1" applyFill="1" applyBorder="1" applyAlignment="1">
      <x:alignment vertical="center" wrapText="1"/>
    </x:xf>
    <x:xf numFmtId="0" fontId="64" fillId="20" borderId="29" xfId="0" applyNumberFormat="1" applyFont="1" applyFill="1" applyBorder="1" applyAlignment="1">
      <x:alignment vertical="center" wrapText="1"/>
    </x:xf>
    <x:xf numFmtId="0" fontId="64" fillId="0" borderId="28" xfId="0" applyNumberFormat="1" applyFont="1" applyFill="1" applyBorder="1" applyAlignment="1">
      <x:alignment vertical="center"/>
    </x:xf>
    <x:xf numFmtId="0" fontId="64" fillId="25" borderId="28" xfId="0" applyNumberFormat="1" applyFont="1" applyFill="1" applyBorder="1" applyAlignment="1">
      <x:alignment vertical="center"/>
    </x:xf>
    <x:xf numFmtId="0" fontId="64" fillId="25" borderId="32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/>
    <x:xf numFmtId="164" fontId="60" fillId="6" borderId="0" xfId="0" applyNumberFormat="1" applyFont="1" applyFill="1" applyBorder="1"/>
    <x:xf numFmtId="164" fontId="60" fillId="18" borderId="16" xfId="0" applyNumberFormat="1" applyFont="1" applyFill="1" applyBorder="1" applyAlignment="1">
      <x:alignment horizontal="left" vertical="center" wrapText="1"/>
    </x:xf>
    <x:xf numFmtId="2" fontId="60" fillId="18" borderId="16" xfId="0" applyNumberFormat="1" applyFont="1" applyFill="1" applyBorder="1" applyAlignment="1">
      <x:alignment horizontal="left" vertical="center" wrapText="1"/>
    </x:xf>
    <x:xf numFmtId="2" fontId="60" fillId="0" borderId="0" xfId="0" applyNumberFormat="1" applyFont="1" applyFill="1" applyBorder="1"/>
    <x:xf numFmtId="164" fontId="60" fillId="21" borderId="16" xfId="0" applyNumberFormat="1" applyFont="1" applyFill="1" applyBorder="1" applyAlignment="1">
      <x:alignment horizontal="left" vertical="center" wrapText="1"/>
    </x:xf>
    <x:xf numFmtId="164" fontId="60" fillId="21" borderId="0" xfId="0" applyNumberFormat="1" applyFont="1" applyFill="1" applyBorder="1"/>
    <x:xf numFmtId="164" fontId="60" fillId="19" borderId="16" xfId="0" applyNumberFormat="1" applyFont="1" applyFill="1" applyBorder="1" applyAlignment="1">
      <x:alignment horizontal="right" vertical="center" wrapText="1"/>
    </x:xf>
    <x:xf numFmtId="164" fontId="60" fillId="0" borderId="0" xfId="0" applyNumberFormat="1" applyFont="1" applyFill="1" applyBorder="1" applyAlignment="1">
      <x:alignment vertical="center"/>
    </x:xf>
    <x:xf numFmtId="164" fontId="60" fillId="6" borderId="0" xfId="0" applyNumberFormat="1" applyFont="1" applyFill="1" applyBorder="1" applyAlignment="1">
      <x:alignment vertical="center"/>
    </x:xf>
    <x:xf numFmtId="2" fontId="60" fillId="0" borderId="0" xfId="0" applyNumberFormat="1" applyFont="1" applyFill="1" applyBorder="1" applyAlignment="1">
      <x:alignment vertical="center"/>
    </x:xf>
    <x:xf numFmtId="164" fontId="60" fillId="21" borderId="0" xfId="0" applyNumberFormat="1" applyFont="1" applyFill="1" applyBorder="1" applyAlignment="1">
      <x:alignment vertical="center"/>
    </x:xf>
    <x:xf numFmtId="0" fontId="60" fillId="0" borderId="36" xfId="0" applyNumberFormat="1" applyFont="1" applyFill="1" applyBorder="1" applyAlignment="1">
      <x:alignment vertical="center"/>
    </x:xf>
    <x:xf numFmtId="164" fontId="60" fillId="0" borderId="36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vertical="center"/>
    </x:xf>
    <x:xf numFmtId="164" fontId="60" fillId="6" borderId="30" xfId="0" applyNumberFormat="1" applyFont="1" applyFill="1" applyBorder="1" applyAlignment="1">
      <x:alignment vertical="center"/>
    </x:xf>
    <x:xf numFmtId="164" fontId="60" fillId="18" borderId="29" xfId="0" applyNumberFormat="1" applyFont="1" applyFill="1" applyBorder="1" applyAlignment="1">
      <x:alignment horizontal="left" vertical="center" wrapText="1"/>
    </x:xf>
    <x:xf numFmtId="2" fontId="60" fillId="18" borderId="29" xfId="0" applyNumberFormat="1" applyFont="1" applyFill="1" applyBorder="1" applyAlignment="1">
      <x:alignment horizontal="left" vertical="center" wrapText="1"/>
    </x:xf>
    <x:xf numFmtId="2" fontId="60" fillId="0" borderId="30" xfId="0" applyNumberFormat="1" applyFont="1" applyFill="1" applyBorder="1" applyAlignment="1">
      <x:alignment vertical="center"/>
    </x:xf>
    <x:xf numFmtId="164" fontId="60" fillId="21" borderId="29" xfId="0" applyNumberFormat="1" applyFont="1" applyFill="1" applyBorder="1" applyAlignment="1">
      <x:alignment horizontal="left" vertical="center" wrapText="1"/>
    </x:xf>
    <x:xf numFmtId="164" fontId="60" fillId="21" borderId="30" xfId="0" applyNumberFormat="1" applyFont="1" applyFill="1" applyBorder="1" applyAlignment="1">
      <x:alignment vertical="center"/>
    </x:xf>
    <x:xf numFmtId="164" fontId="60" fillId="18" borderId="31" xfId="0" applyNumberFormat="1" applyFont="1" applyFill="1" applyBorder="1" applyAlignment="1">
      <x:alignment horizontal="left" vertical="center" wrapText="1"/>
    </x:xf>
    <x:xf numFmtId="164" fontId="60" fillId="19" borderId="29" xfId="0" applyNumberFormat="1" applyFont="1" applyFill="1" applyBorder="1" applyAlignment="1">
      <x:alignment horizontal="right" vertical="center" wrapText="1"/>
    </x:xf>
    <x:xf numFmtId="164" fontId="60" fillId="0" borderId="37" xfId="0" applyNumberFormat="1" applyFont="1" applyFill="1" applyBorder="1" applyAlignment="1">
      <x:alignment vertical="center"/>
    </x:xf>
    <x:xf numFmtId="0" fontId="60" fillId="0" borderId="37" xfId="0" applyNumberFormat="1" applyFont="1" applyFill="1" applyBorder="1" applyAlignment="1">
      <x:alignment vertical="center"/>
    </x:xf>
    <x:xf numFmtId="0" fontId="60" fillId="23" borderId="36" xfId="0" applyNumberFormat="1" applyFont="1" applyFill="1" applyBorder="1" applyAlignment="1">
      <x:alignment vertical="center"/>
    </x:xf>
    <x:xf numFmtId="164" fontId="60" fillId="23" borderId="36" xfId="0" applyNumberFormat="1" applyFont="1" applyFill="1" applyBorder="1" applyAlignment="1">
      <x:alignment vertical="center"/>
    </x:xf>
    <x:xf numFmtId="164" fontId="60" fillId="23" borderId="30" xfId="0" applyNumberFormat="1" applyFont="1" applyFill="1" applyBorder="1" applyAlignment="1">
      <x:alignment vertical="center"/>
    </x:xf>
    <x:xf numFmtId="0" fontId="61" fillId="23" borderId="36" xfId="0" applyNumberFormat="1" applyFont="1" applyFill="1" applyBorder="1" applyAlignment="1">
      <x:alignment vertical="center"/>
    </x:xf>
    <x:xf numFmtId="164" fontId="61" fillId="23" borderId="36" xfId="0" applyNumberFormat="1" applyFont="1" applyFill="1" applyBorder="1" applyAlignment="1">
      <x:alignment vertical="center"/>
    </x:xf>
    <x:xf numFmtId="164" fontId="61" fillId="23" borderId="30" xfId="0" applyNumberFormat="1" applyFont="1" applyFill="1" applyBorder="1" applyAlignment="1">
      <x:alignment vertical="center"/>
    </x:xf>
    <x:xf numFmtId="164" fontId="60" fillId="24" borderId="30" xfId="0" applyNumberFormat="1" applyFont="1" applyFill="1" applyBorder="1" applyAlignment="1">
      <x:alignment vertical="center"/>
    </x:xf>
    <x:xf numFmtId="164" fontId="60" fillId="24" borderId="29" xfId="0" applyNumberFormat="1" applyFont="1" applyFill="1" applyBorder="1" applyAlignment="1">
      <x:alignment horizontal="left" vertical="center" wrapText="1"/>
    </x:xf>
    <x:xf numFmtId="164" fontId="62" fillId="24" borderId="30" xfId="0" applyNumberFormat="1" applyFont="1" applyFill="1" applyBorder="1" applyAlignment="1">
      <x:alignment vertical="center"/>
    </x:xf>
    <x:xf numFmtId="164" fontId="62" fillId="24" borderId="29" xfId="0" applyNumberFormat="1" applyFont="1" applyFill="1" applyBorder="1" applyAlignment="1">
      <x:alignment horizontal="left" vertical="center" wrapText="1"/>
    </x:xf>
    <x:xf numFmtId="164" fontId="62" fillId="24" borderId="35" xfId="0" applyNumberFormat="1" applyFont="1" applyFill="1" applyBorder="1" applyAlignment="1">
      <x:alignment vertical="center"/>
    </x:xf>
    <x:xf numFmtId="164" fontId="62" fillId="24" borderId="35" xfId="0" applyNumberFormat="1" applyFont="1" applyFill="1" applyBorder="1" applyAlignment="1">
      <x:alignment horizontal="left" vertical="center" wrapText="1"/>
    </x:xf>
    <x:xf numFmtId="164" fontId="62" fillId="24" borderId="35" xfId="0" applyNumberFormat="1" applyFont="1" applyFill="1" applyBorder="1" applyAlignment="1">
      <x:alignment vertical="center" wrapText="1"/>
    </x:xf>
    <x:xf numFmtId="164" fontId="62" fillId="24" borderId="35" xfId="0" applyNumberFormat="1" applyFont="1" applyFill="1" applyBorder="1" applyAlignment="1">
      <x:alignment horizontal="center" vertical="center" wrapText="1"/>
    </x:xf>
    <x:xf numFmtId="2" fontId="60" fillId="25" borderId="29" xfId="0" applyNumberFormat="1" applyFont="1" applyFill="1" applyBorder="1" applyAlignment="1">
      <x:alignment horizontal="left" vertical="center" wrapText="1"/>
    </x:xf>
    <x:xf numFmtId="2" fontId="60" fillId="25" borderId="30" xfId="0" applyNumberFormat="1" applyFont="1" applyFill="1" applyBorder="1" applyAlignment="1">
      <x:alignment vertical="center"/>
    </x:xf>
    <x:xf numFmtId="164" fontId="60" fillId="25" borderId="31" xfId="0" applyNumberFormat="1" applyFont="1" applyFill="1" applyBorder="1" applyAlignment="1">
      <x:alignment horizontal="left" vertical="center" wrapText="1"/>
    </x:xf>
    <x:xf numFmtId="164" fontId="60" fillId="25" borderId="29" xfId="0" applyNumberFormat="1" applyFont="1" applyFill="1" applyBorder="1" applyAlignment="1">
      <x:alignment horizontal="left" vertical="center" wrapText="1"/>
    </x:xf>
    <x:xf numFmtId="164" fontId="60" fillId="25" borderId="30" xfId="0" applyNumberFormat="1" applyFont="1" applyFill="1" applyBorder="1" applyAlignment="1">
      <x:alignment vertical="center"/>
    </x:xf>
    <x:xf numFmtId="164" fontId="60" fillId="25" borderId="29" xfId="0" applyNumberFormat="1" applyFont="1" applyFill="1" applyBorder="1" applyAlignment="1">
      <x:alignment horizontal="right" vertical="center" wrapText="1"/>
    </x:xf>
    <x:xf numFmtId="164" fontId="60" fillId="25" borderId="37" xfId="0" applyNumberFormat="1" applyFont="1" applyFill="1" applyBorder="1" applyAlignment="1">
      <x:alignment vertical="center"/>
    </x:xf>
    <x:xf numFmtId="0" fontId="60" fillId="25" borderId="37" xfId="0" applyNumberFormat="1" applyFont="1" applyFill="1" applyBorder="1" applyAlignment="1">
      <x:alignment vertical="center"/>
    </x:xf>
    <x:xf numFmtId="0" fontId="63" fillId="23" borderId="36" xfId="0" applyNumberFormat="1" applyFont="1" applyFill="1" applyBorder="1" applyAlignment="1">
      <x:alignment vertical="center"/>
    </x:xf>
    <x:xf numFmtId="0" fontId="63" fillId="23" borderId="30" xfId="0" applyNumberFormat="1" applyFont="1" applyFill="1" applyBorder="1" applyAlignment="1">
      <x:alignment vertical="center"/>
    </x:xf>
    <x:xf numFmtId="164" fontId="64" fillId="24" borderId="35" xfId="0" applyNumberFormat="1" applyFont="1" applyFill="1" applyBorder="1" applyAlignment="1">
      <x:alignment horizontal="center" vertical="center" wrapText="1"/>
    </x:xf>
    <x:xf numFmtId="0" fontId="64" fillId="25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vertical="center"/>
    </x:xf>
    <x:xf numFmtId="164" fontId="64" fillId="25" borderId="31" xfId="0" applyNumberFormat="1" applyFont="1" applyFill="1" applyBorder="1" applyAlignment="1">
      <x:alignment horizontal="left" vertical="center" wrapText="1"/>
    </x:xf>
    <x:xf numFmtId="164" fontId="64" fillId="18" borderId="31" xfId="0" applyNumberFormat="1" applyFont="1" applyFill="1" applyBorder="1" applyAlignment="1">
      <x:alignment horizontal="left" vertical="center" wrapText="1"/>
    </x:xf>
    <x:xf numFmtId="164" fontId="64" fillId="25" borderId="30" xfId="0" applyNumberFormat="1" applyFont="1" applyFill="1" applyBorder="1" applyAlignment="1">
      <x:alignment vertical="center"/>
    </x:xf>
    <x:xf numFmtId="164" fontId="64" fillId="0" borderId="30" xfId="0" applyNumberFormat="1" applyFont="1" applyFill="1" applyBorder="1" applyAlignment="1">
      <x:alignment vertical="center"/>
    </x:xf>
    <x:xf numFmtId="164" fontId="64" fillId="25" borderId="37" xfId="0" applyNumberFormat="1" applyFont="1" applyFill="1" applyBorder="1" applyAlignment="1">
      <x:alignment vertical="center"/>
    </x:xf>
    <x:xf numFmtId="0" fontId="65" fillId="23" borderId="36" xfId="0" applyNumberFormat="1" applyFont="1" applyFill="1" applyBorder="1" applyAlignment="1">
      <x:alignment vertical="center"/>
    </x:xf>
    <x:xf numFmtId="164" fontId="65" fillId="23" borderId="36" xfId="0" applyNumberFormat="1" applyFont="1" applyFill="1" applyBorder="1" applyAlignment="1">
      <x:alignment vertical="center"/>
    </x:xf>
    <x:xf numFmtId="0" fontId="65" fillId="23" borderId="30" xfId="0" applyNumberFormat="1" applyFont="1" applyFill="1" applyBorder="1" applyAlignment="1">
      <x:alignment vertical="center"/>
    </x:xf>
    <x:xf numFmtId="164" fontId="65" fillId="23" borderId="30" xfId="0" applyNumberFormat="1" applyFont="1" applyFill="1" applyBorder="1" applyAlignment="1">
      <x:alignment vertical="center"/>
    </x:xf>
    <x:xf numFmtId="164" fontId="65" fillId="24" borderId="35" xfId="0" applyNumberFormat="1" applyFont="1" applyFill="1" applyBorder="1" applyAlignment="1">
      <x:alignment horizontal="center" vertical="center" wrapText="1"/>
    </x:xf>
    <x:xf numFmtId="0" fontId="65" fillId="24" borderId="35" xfId="0" applyNumberFormat="1" applyFont="1" applyFill="1" applyBorder="1" applyAlignment="1">
      <x:alignment horizontal="center" vertical="center" wrapText="1"/>
    </x:xf>
    <x:xf numFmtId="0" fontId="65" fillId="25" borderId="30" xfId="0" applyNumberFormat="1" applyFont="1" applyFill="1" applyBorder="1" applyAlignment="1">
      <x:alignment vertical="center"/>
    </x:xf>
    <x:xf numFmtId="2" fontId="66" fillId="25" borderId="29" xfId="0" applyNumberFormat="1" applyFont="1" applyFill="1" applyBorder="1" applyAlignment="1">
      <x:alignment horizontal="left" vertical="center" wrapText="1"/>
    </x:xf>
    <x:xf numFmtId="2" fontId="66" fillId="25" borderId="30" xfId="0" applyNumberFormat="1" applyFont="1" applyFill="1" applyBorder="1" applyAlignment="1">
      <x:alignment vertical="center"/>
    </x:xf>
    <x:xf numFmtId="0" fontId="66" fillId="25" borderId="30" xfId="0" applyNumberFormat="1" applyFont="1" applyFill="1" applyBorder="1" applyAlignment="1">
      <x:alignment vertical="center"/>
    </x:xf>
    <x:xf numFmtId="0" fontId="65" fillId="0" borderId="30" xfId="0" applyNumberFormat="1" applyFont="1" applyFill="1" applyBorder="1" applyAlignment="1">
      <x:alignment vertical="center"/>
    </x:xf>
    <x:xf numFmtId="164" fontId="66" fillId="21" borderId="29" xfId="0" applyNumberFormat="1" applyFont="1" applyFill="1" applyBorder="1" applyAlignment="1">
      <x:alignment horizontal="left" vertical="center" wrapText="1"/>
    </x:xf>
    <x:xf numFmtId="164" fontId="66" fillId="21" borderId="30" xfId="0" applyNumberFormat="1" applyFont="1" applyFill="1" applyBorder="1" applyAlignment="1">
      <x:alignment vertical="center"/>
    </x:xf>
    <x:xf numFmtId="0" fontId="66" fillId="0" borderId="30" xfId="0" applyNumberFormat="1" applyFont="1" applyFill="1" applyBorder="1" applyAlignment="1">
      <x:alignment vertical="center"/>
    </x:xf>
    <x:xf numFmtId="164" fontId="65" fillId="25" borderId="31" xfId="0" applyNumberFormat="1" applyFont="1" applyFill="1" applyBorder="1" applyAlignment="1">
      <x:alignment horizontal="left" vertical="center" wrapText="1"/>
    </x:xf>
    <x:xf numFmtId="164" fontId="66" fillId="25" borderId="29" xfId="0" applyNumberFormat="1" applyFont="1" applyFill="1" applyBorder="1" applyAlignment="1">
      <x:alignment horizontal="left" vertical="center" wrapText="1"/>
    </x:xf>
    <x:xf numFmtId="164" fontId="66" fillId="25" borderId="30" xfId="0" applyNumberFormat="1" applyFont="1" applyFill="1" applyBorder="1" applyAlignment="1">
      <x:alignment vertical="center"/>
    </x:xf>
    <x:xf numFmtId="164" fontId="65" fillId="18" borderId="31" xfId="0" applyNumberFormat="1" applyFont="1" applyFill="1" applyBorder="1" applyAlignment="1">
      <x:alignment horizontal="left" vertical="center" wrapText="1"/>
    </x:xf>
    <x:xf numFmtId="164" fontId="66" fillId="0" borderId="30" xfId="0" applyNumberFormat="1" applyFont="1" applyFill="1" applyBorder="1" applyAlignment="1">
      <x:alignment vertical="center"/>
    </x:xf>
    <x:xf numFmtId="164" fontId="66" fillId="19" borderId="29" xfId="0" applyNumberFormat="1" applyFont="1" applyFill="1" applyBorder="1" applyAlignment="1">
      <x:alignment horizontal="right" vertical="center" wrapText="1"/>
    </x:xf>
    <x:xf numFmtId="164" fontId="66" fillId="25" borderId="29" xfId="0" applyNumberFormat="1" applyFont="1" applyFill="1" applyBorder="1" applyAlignment="1">
      <x:alignment horizontal="right" vertical="center" wrapText="1"/>
    </x:xf>
    <x:xf numFmtId="164" fontId="65" fillId="25" borderId="30" xfId="0" applyNumberFormat="1" applyFont="1" applyFill="1" applyBorder="1" applyAlignment="1">
      <x:alignment vertical="center"/>
    </x:xf>
    <x:xf numFmtId="164" fontId="65" fillId="0" borderId="30" xfId="0" applyNumberFormat="1" applyFont="1" applyFill="1" applyBorder="1" applyAlignment="1">
      <x:alignment vertical="center"/>
    </x:xf>
    <x:xf numFmtId="164" fontId="65" fillId="25" borderId="37" xfId="0" applyNumberFormat="1" applyFont="1" applyFill="1" applyBorder="1" applyAlignment="1">
      <x:alignment vertical="center"/>
    </x:xf>
    <x:xf numFmtId="0" fontId="66" fillId="25" borderId="37" xfId="0" applyNumberFormat="1" applyFont="1" applyFill="1" applyBorder="1" applyAlignment="1">
      <x:alignment vertical="center"/>
    </x:xf>
    <x:xf numFmtId="0" fontId="65" fillId="24" borderId="36" xfId="0" applyNumberFormat="1" applyFont="1" applyFill="1" applyBorder="1" applyAlignment="1">
      <x:alignment vertical="center"/>
    </x:xf>
    <x:xf numFmtId="0" fontId="65" fillId="24" borderId="30" xfId="0" applyNumberFormat="1" applyFont="1" applyFill="1" applyBorder="1" applyAlignment="1">
      <x:alignment vertical="center"/>
    </x:xf>
    <x:xf numFmtId="164" fontId="65" fillId="24" borderId="30" xfId="0" applyNumberFormat="1" applyFont="1" applyFill="1" applyBorder="1" applyAlignment="1">
      <x:alignment vertical="center"/>
    </x:xf>
    <x:xf numFmtId="0" fontId="67" fillId="24" borderId="36" xfId="0" applyNumberFormat="1" applyFont="1" applyFill="1" applyBorder="1" applyAlignment="1">
      <x:alignment vertical="center"/>
    </x:xf>
    <x:xf numFmtId="0" fontId="67" fillId="24" borderId="30" xfId="0" applyNumberFormat="1" applyFont="1" applyFill="1" applyBorder="1" applyAlignment="1">
      <x:alignment vertical="center"/>
    </x:xf>
    <x:xf numFmtId="164" fontId="67" fillId="24" borderId="30" xfId="0" applyNumberFormat="1" applyFont="1" applyFill="1" applyBorder="1" applyAlignment="1">
      <x:alignment vertical="center"/>
    </x:xf>
    <x:xf numFmtId="0" fontId="60" fillId="0" borderId="0" xfId="0" applyNumberFormat="1" applyFont="1" applyFill="1" applyBorder="1" applyAlignment="1">
      <x:alignment horizontal="center"/>
    </x:xf>
    <x:xf numFmtId="14" fontId="64" fillId="6" borderId="11" xfId="0" applyNumberFormat="1" applyFont="1" applyFill="1" applyBorder="1" applyAlignment="1">
      <x:alignment horizontal="center" vertical="center" wrapText="1"/>
    </x:xf>
    <x:xf numFmtId="14" fontId="64" fillId="6" borderId="12" xfId="0" applyNumberFormat="1" applyFont="1" applyFill="1" applyBorder="1" applyAlignment="1">
      <x:alignment horizontal="center" vertical="center" wrapText="1"/>
    </x:xf>
    <x:xf numFmtId="14" fontId="64" fillId="6" borderId="12" xfId="0" applyNumberFormat="1" applyFont="1" applyFill="1" applyBorder="1" applyAlignment="1">
      <x:alignment horizontal="center" vertical="center"/>
    </x:xf>
    <x:xf numFmtId="14" fontId="64" fillId="6" borderId="10" xfId="0" applyNumberFormat="1" applyFont="1" applyFill="1" applyBorder="1" applyAlignment="1">
      <x:alignment horizontal="center" vertical="center"/>
    </x:xf>
    <x:xf numFmtId="0" fontId="64" fillId="6" borderId="22" xfId="0" applyNumberFormat="1" applyFont="1" applyFill="1" applyBorder="1" applyAlignment="1">
      <x:alignment horizontal="center" vertical="center"/>
    </x:xf>
    <x:xf numFmtId="0" fontId="64" fillId="6" borderId="3" xfId="0" applyNumberFormat="1" applyFont="1" applyFill="1" applyBorder="1" applyAlignment="1">
      <x:alignment horizontal="center" vertical="center"/>
    </x:xf>
    <x:xf numFmtId="165" fontId="64" fillId="6" borderId="20" xfId="0" applyNumberFormat="1" applyFont="1" applyFill="1" applyBorder="1" applyAlignment="1">
      <x:alignment horizontal="center" vertical="center"/>
    </x:xf>
    <x:xf numFmtId="165" fontId="64" fillId="6" borderId="21" xfId="0" applyNumberFormat="1" applyFont="1" applyFill="1" applyBorder="1" applyAlignment="1">
      <x:alignment horizontal="center" vertical="center"/>
    </x:xf>
    <x:xf numFmtId="165" fontId="64" fillId="6" borderId="7" xfId="0" applyNumberFormat="1" applyFont="1" applyFill="1" applyBorder="1" applyAlignment="1">
      <x:alignment horizontal="center" vertical="center"/>
    </x:xf>
    <x:xf numFmtId="0" fontId="64" fillId="6" borderId="17" xfId="0" applyNumberFormat="1" applyFont="1" applyFill="1" applyBorder="1" applyAlignment="1">
      <x:alignment horizontal="center" vertical="center"/>
    </x:xf>
    <x:xf numFmtId="0" fontId="64" fillId="6" borderId="9" xfId="0" applyNumberFormat="1" applyFont="1" applyFill="1" applyBorder="1" applyAlignment="1">
      <x:alignment horizontal="center" vertical="center"/>
    </x:xf>
    <x:xf numFmtId="165" fontId="60" fillId="6" borderId="17" xfId="0" applyNumberFormat="1" applyFont="1" applyFill="1" applyBorder="1" applyAlignment="1">
      <x:alignment horizontal="center"/>
    </x:xf>
    <x:xf numFmtId="165" fontId="60" fillId="6" borderId="18" xfId="0" applyNumberFormat="1" applyFont="1" applyFill="1" applyBorder="1" applyAlignment="1">
      <x:alignment horizontal="center"/>
    </x:xf>
    <x:xf numFmtId="165" fontId="60" fillId="6" borderId="19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/>
    <x:xf numFmtId="0" fontId="64" fillId="0" borderId="6" xfId="0" applyNumberFormat="1" applyFont="1" applyFill="1" applyBorder="1" applyAlignment="1">
      <x:alignment horizontal="center"/>
    </x:xf>
    <x:xf numFmtId="0" fontId="64" fillId="0" borderId="0" xfId="0" applyNumberFormat="1" applyFont="1" applyFill="1" applyBorder="1" applyAlignment="1">
      <x:alignment horizontal="left"/>
    </x:xf>
    <x:xf numFmtId="165" fontId="60" fillId="0" borderId="2" xfId="0" applyNumberFormat="1" applyFont="1" applyFill="1" applyBorder="1" applyAlignment="1">
      <x:alignment horizontal="left"/>
    </x:xf>
    <x:xf numFmtId="165" fontId="60" fillId="0" borderId="4" xfId="0" applyNumberFormat="1" applyFont="1" applyFill="1" applyBorder="1" applyAlignment="1">
      <x:alignment horizontal="left"/>
    </x:xf>
    <x:xf numFmtId="165" fontId="60" fillId="0" borderId="3" xfId="0" applyNumberFormat="1" applyFont="1" applyFill="1" applyBorder="1" applyAlignment="1">
      <x:alignment horizontal="center"/>
    </x:xf>
    <x:xf numFmtId="49" fontId="60" fillId="0" borderId="0" xfId="0" applyNumberFormat="1" applyFont="1" applyFill="1" applyBorder="1" applyAlignment="1">
      <x:alignment horizontal="left"/>
    </x:xf>
    <x:xf numFmtId="165" fontId="60" fillId="0" borderId="0" xfId="0" applyNumberFormat="1" applyFont="1" applyFill="1" applyBorder="1"/>
    <x:xf numFmtId="165" fontId="60" fillId="0" borderId="6" xfId="0" applyNumberFormat="1" applyFont="1" applyFill="1" applyBorder="1" applyAlignment="1">
      <x:alignment horizontal="left"/>
    </x:xf>
    <x:xf numFmtId="165" fontId="60" fillId="0" borderId="0" xfId="0" applyNumberFormat="1" applyFont="1" applyFill="1" applyBorder="1" applyAlignment="1">
      <x:alignment horizontal="left"/>
    </x:xf>
    <x:xf numFmtId="165" fontId="60" fillId="0" borderId="7" xfId="0" applyNumberFormat="1" applyFont="1" applyFill="1" applyBorder="1" applyAlignment="1">
      <x:alignment horizontal="center"/>
    </x:xf>
    <x:xf numFmtId="167" fontId="60" fillId="0" borderId="0" xfId="0" applyNumberFormat="1" applyFont="1" applyFill="1" applyBorder="1" applyAlignment="1">
      <x:alignment horizontal="left"/>
    </x:xf>
    <x:xf numFmtId="0" fontId="64" fillId="0" borderId="8" xfId="0" applyNumberFormat="1" applyFont="1" applyFill="1" applyBorder="1" applyAlignment="1">
      <x:alignment horizontal="center"/>
    </x:xf>
    <x:xf numFmtId="0" fontId="64" fillId="0" borderId="1" xfId="0" applyNumberFormat="1" applyFont="1" applyFill="1" applyBorder="1" applyAlignment="1">
      <x:alignment horizontal="left"/>
    </x:xf>
    <x:xf numFmtId="165" fontId="60" fillId="0" borderId="8" xfId="0" applyNumberFormat="1" applyFont="1" applyFill="1" applyBorder="1" applyAlignment="1">
      <x:alignment horizontal="left"/>
    </x:xf>
    <x:xf numFmtId="165" fontId="60" fillId="0" borderId="1" xfId="0" applyNumberFormat="1" applyFont="1" applyFill="1" applyBorder="1" applyAlignment="1">
      <x:alignment horizontal="left"/>
    </x:xf>
    <x:xf numFmtId="165" fontId="60" fillId="0" borderId="9" xfId="0" applyNumberFormat="1" applyFont="1" applyFill="1" applyBorder="1" applyAlignment="1">
      <x:alignment horizontal="center"/>
    </x:xf>
    <x:xf numFmtId="165" fontId="60" fillId="0" borderId="0" xfId="0" applyNumberFormat="1" applyFont="1" applyFill="1" applyBorder="1" applyAlignment="1">
      <x:alignment horizontal="center"/>
    </x:xf>
    <x:xf numFmtId="0" fontId="60" fillId="0" borderId="0" xfId="0" applyNumberFormat="1" applyFont="1" applyFill="1" applyBorder="1" applyAlignment="1">
      <x:alignment horizontal="center" vertical="center"/>
    </x:xf>
    <x:xf numFmtId="165" fontId="60" fillId="6" borderId="17" xfId="0" applyNumberFormat="1" applyFont="1" applyFill="1" applyBorder="1" applyAlignment="1">
      <x:alignment horizontal="center" vertical="center"/>
    </x:xf>
    <x:xf numFmtId="165" fontId="60" fillId="6" borderId="18" xfId="0" applyNumberFormat="1" applyFont="1" applyFill="1" applyBorder="1" applyAlignment="1">
      <x:alignment horizontal="center" vertical="center"/>
    </x:xf>
    <x:xf numFmtId="165" fontId="60" fillId="6" borderId="19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vertical="center"/>
    </x:xf>
    <x:xf numFmtId="0" fontId="64" fillId="0" borderId="6" xfId="0" applyNumberFormat="1" applyFont="1" applyFill="1" applyBorder="1" applyAlignment="1">
      <x:alignment horizontal="center" vertical="center"/>
    </x:xf>
    <x:xf numFmtId="0" fontId="64" fillId="0" borderId="0" xfId="0" applyNumberFormat="1" applyFont="1" applyFill="1" applyBorder="1" applyAlignment="1">
      <x:alignment horizontal="left" vertical="center"/>
    </x:xf>
    <x:xf numFmtId="165" fontId="60" fillId="0" borderId="2" xfId="0" applyNumberFormat="1" applyFont="1" applyFill="1" applyBorder="1" applyAlignment="1">
      <x:alignment horizontal="left" vertical="center"/>
    </x:xf>
    <x:xf numFmtId="165" fontId="60" fillId="0" borderId="4" xfId="0" applyNumberFormat="1" applyFont="1" applyFill="1" applyBorder="1" applyAlignment="1">
      <x:alignment horizontal="left" vertical="center"/>
    </x:xf>
    <x:xf numFmtId="165" fontId="60" fillId="0" borderId="3" xfId="0" applyNumberFormat="1" applyFont="1" applyFill="1" applyBorder="1" applyAlignment="1">
      <x:alignment horizontal="center" vertical="center"/>
    </x:xf>
    <x:xf numFmtId="49" fontId="60" fillId="0" borderId="0" xfId="0" applyNumberFormat="1" applyFont="1" applyFill="1" applyBorder="1" applyAlignment="1">
      <x:alignment horizontal="left" vertical="center"/>
    </x:xf>
    <x:xf numFmtId="165" fontId="60" fillId="0" borderId="0" xfId="0" applyNumberFormat="1" applyFont="1" applyFill="1" applyBorder="1" applyAlignment="1">
      <x:alignment vertical="center"/>
    </x:xf>
    <x:xf numFmtId="165" fontId="60" fillId="0" borderId="6" xfId="0" applyNumberFormat="1" applyFont="1" applyFill="1" applyBorder="1" applyAlignment="1">
      <x:alignment horizontal="left" vertical="center"/>
    </x:xf>
    <x:xf numFmtId="165" fontId="60" fillId="0" borderId="0" xfId="0" applyNumberFormat="1" applyFont="1" applyFill="1" applyBorder="1" applyAlignment="1">
      <x:alignment horizontal="left" vertical="center"/>
    </x:xf>
    <x:xf numFmtId="165" fontId="60" fillId="0" borderId="7" xfId="0" applyNumberFormat="1" applyFont="1" applyFill="1" applyBorder="1" applyAlignment="1">
      <x:alignment horizontal="center" vertical="center"/>
    </x:xf>
    <x:xf numFmtId="167" fontId="60" fillId="0" borderId="0" xfId="0" applyNumberFormat="1" applyFont="1" applyFill="1" applyBorder="1" applyAlignment="1">
      <x:alignment horizontal="left" vertical="center"/>
    </x:xf>
    <x:xf numFmtId="0" fontId="64" fillId="0" borderId="8" xfId="0" applyNumberFormat="1" applyFont="1" applyFill="1" applyBorder="1" applyAlignment="1">
      <x:alignment horizontal="center" vertical="center"/>
    </x:xf>
    <x:xf numFmtId="0" fontId="64" fillId="0" borderId="1" xfId="0" applyNumberFormat="1" applyFont="1" applyFill="1" applyBorder="1" applyAlignment="1">
      <x:alignment horizontal="left" vertical="center"/>
    </x:xf>
    <x:xf numFmtId="165" fontId="60" fillId="0" borderId="8" xfId="0" applyNumberFormat="1" applyFont="1" applyFill="1" applyBorder="1" applyAlignment="1">
      <x:alignment horizontal="left" vertical="center"/>
    </x:xf>
    <x:xf numFmtId="165" fontId="60" fillId="0" borderId="1" xfId="0" applyNumberFormat="1" applyFont="1" applyFill="1" applyBorder="1" applyAlignment="1">
      <x:alignment horizontal="left" vertical="center"/>
    </x:xf>
    <x:xf numFmtId="165" fontId="60" fillId="0" borderId="9" xfId="0" applyNumberFormat="1" applyFont="1" applyFill="1" applyBorder="1" applyAlignment="1">
      <x:alignment horizontal="center" vertical="center"/>
    </x:xf>
    <x:xf numFmtId="165" fontId="60" fillId="0" borderId="0" xfId="0" applyNumberFormat="1" applyFont="1" applyFill="1" applyBorder="1" applyAlignment="1">
      <x:alignment horizontal="center" vertical="center"/>
    </x:xf>
    <x:xf numFmtId="0" fontId="60" fillId="0" borderId="30" xfId="0" applyNumberFormat="1" applyFont="1" applyFill="1" applyBorder="1" applyAlignment="1">
      <x:alignment horizontal="center" vertical="center"/>
    </x:xf>
    <x:xf numFmtId="14" fontId="64" fillId="6" borderId="30" xfId="0" applyNumberFormat="1" applyFont="1" applyFill="1" applyBorder="1" applyAlignment="1">
      <x:alignment horizontal="center" vertical="center" wrapText="1"/>
    </x:xf>
    <x:xf numFmtId="14" fontId="64" fillId="6" borderId="30" xfId="0" applyNumberFormat="1" applyFont="1" applyFill="1" applyBorder="1" applyAlignment="1">
      <x:alignment horizontal="center" vertical="center"/>
    </x:xf>
    <x:xf numFmtId="14" fontId="64" fillId="6" borderId="38" xfId="0" applyNumberFormat="1" applyFont="1" applyFill="1" applyBorder="1" applyAlignment="1">
      <x:alignment horizontal="center" vertical="center"/>
    </x:xf>
    <x:xf numFmtId="0" fontId="64" fillId="6" borderId="39" xfId="0" applyNumberFormat="1" applyFont="1" applyFill="1" applyBorder="1" applyAlignment="1">
      <x:alignment horizontal="center" vertical="center"/>
    </x:xf>
    <x:xf numFmtId="0" fontId="64" fillId="6" borderId="38" xfId="0" applyNumberFormat="1" applyFont="1" applyFill="1" applyBorder="1" applyAlignment="1">
      <x:alignment horizontal="center" vertical="center"/>
    </x:xf>
    <x:xf numFmtId="165" fontId="64" fillId="6" borderId="40" xfId="0" applyNumberFormat="1" applyFont="1" applyFill="1" applyBorder="1" applyAlignment="1">
      <x:alignment horizontal="center" vertical="center"/>
    </x:xf>
    <x:xf numFmtId="165" fontId="64" fillId="6" borderId="41" xfId="0" applyNumberFormat="1" applyFont="1" applyFill="1" applyBorder="1" applyAlignment="1">
      <x:alignment horizontal="center" vertical="center"/>
    </x:xf>
    <x:xf numFmtId="165" fontId="64" fillId="6" borderId="38" xfId="0" applyNumberFormat="1" applyFont="1" applyFill="1" applyBorder="1" applyAlignment="1">
      <x:alignment horizontal="center" vertical="center"/>
    </x:xf>
    <x:xf numFmtId="165" fontId="60" fillId="6" borderId="40" xfId="0" applyNumberFormat="1" applyFont="1" applyFill="1" applyBorder="1" applyAlignment="1">
      <x:alignment horizontal="center" vertical="center"/>
    </x:xf>
    <x:xf numFmtId="165" fontId="60" fillId="6" borderId="41" xfId="0" applyNumberFormat="1" applyFont="1" applyFill="1" applyBorder="1" applyAlignment="1">
      <x:alignment horizontal="center" vertical="center"/>
    </x:xf>
    <x:xf numFmtId="165" fontId="60" fillId="6" borderId="42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horizontal="center" vertical="center"/>
    </x:xf>
    <x:xf numFmtId="0" fontId="64" fillId="0" borderId="30" xfId="0" applyNumberFormat="1" applyFont="1" applyFill="1" applyBorder="1" applyAlignment="1">
      <x:alignment horizontal="left" vertical="center"/>
    </x:xf>
    <x:xf numFmtId="165" fontId="60" fillId="0" borderId="43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horizontal="left" vertical="center"/>
    </x:xf>
    <x:xf numFmtId="165" fontId="60" fillId="0" borderId="38" xfId="0" applyNumberFormat="1" applyFont="1" applyFill="1" applyBorder="1" applyAlignment="1">
      <x:alignment horizontal="center" vertical="center"/>
    </x:xf>
    <x:xf numFmtId="49" fontId="60" fillId="0" borderId="30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vertical="center"/>
    </x:xf>
    <x:xf numFmtId="167" fontId="60" fillId="0" borderId="30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horizontal="center" vertical="center"/>
    </x:xf>
    <x:xf numFmtId="49" fontId="60" fillId="0" borderId="37" xfId="0" applyNumberFormat="1" applyFont="1" applyFill="1" applyBorder="1" applyAlignment="1">
      <x:alignment horizontal="left" vertical="center"/>
    </x:xf>
    <x:xf numFmtId="0" fontId="60" fillId="23" borderId="30" xfId="0" applyNumberFormat="1" applyFont="1" applyFill="1" applyBorder="1" applyAlignment="1">
      <x:alignment horizontal="center" vertical="center"/>
    </x:xf>
    <x:xf numFmtId="14" fontId="64" fillId="23" borderId="30" xfId="0" applyNumberFormat="1" applyFont="1" applyFill="1" applyBorder="1" applyAlignment="1">
      <x:alignment horizontal="center" vertical="center" wrapText="1"/>
    </x:xf>
    <x:xf numFmtId="14" fontId="64" fillId="23" borderId="30" xfId="0" applyNumberFormat="1" applyFont="1" applyFill="1" applyBorder="1" applyAlignment="1">
      <x:alignment horizontal="center" vertical="center"/>
    </x:xf>
    <x:xf numFmtId="14" fontId="64" fillId="23" borderId="38" xfId="0" applyNumberFormat="1" applyFont="1" applyFill="1" applyBorder="1" applyAlignment="1">
      <x:alignment horizontal="center" vertical="center"/>
    </x:xf>
    <x:xf numFmtId="0" fontId="61" fillId="23" borderId="30" xfId="0" applyNumberFormat="1" applyFont="1" applyFill="1" applyBorder="1" applyAlignment="1">
      <x:alignment horizontal="center" vertical="center"/>
    </x:xf>
    <x:xf numFmtId="14" fontId="61" fillId="23" borderId="30" xfId="0" applyNumberFormat="1" applyFont="1" applyFill="1" applyBorder="1" applyAlignment="1">
      <x:alignment horizontal="center" vertical="center" wrapText="1"/>
    </x:xf>
    <x:xf numFmtId="14" fontId="61" fillId="23" borderId="30" xfId="0" applyNumberFormat="1" applyFont="1" applyFill="1" applyBorder="1" applyAlignment="1">
      <x:alignment horizontal="center" vertical="center"/>
    </x:xf>
    <x:xf numFmtId="14" fontId="61" fillId="23" borderId="38" xfId="0" applyNumberFormat="1" applyFont="1" applyFill="1" applyBorder="1" applyAlignment="1">
      <x:alignment horizontal="center" vertical="center"/>
    </x:xf>
    <x:xf numFmtId="0" fontId="64" fillId="24" borderId="39" xfId="0" applyNumberFormat="1" applyFont="1" applyFill="1" applyBorder="1" applyAlignment="1">
      <x:alignment horizontal="center" vertical="center"/>
    </x:xf>
    <x:xf numFmtId="0" fontId="64" fillId="24" borderId="38" xfId="0" applyNumberFormat="1" applyFont="1" applyFill="1" applyBorder="1" applyAlignment="1">
      <x:alignment horizontal="center" vertical="center"/>
    </x:xf>
    <x:xf numFmtId="165" fontId="64" fillId="24" borderId="40" xfId="0" applyNumberFormat="1" applyFont="1" applyFill="1" applyBorder="1" applyAlignment="1">
      <x:alignment horizontal="center" vertical="center"/>
    </x:xf>
    <x:xf numFmtId="165" fontId="64" fillId="24" borderId="41" xfId="0" applyNumberFormat="1" applyFont="1" applyFill="1" applyBorder="1" applyAlignment="1">
      <x:alignment horizontal="center" vertical="center"/>
    </x:xf>
    <x:xf numFmtId="165" fontId="64" fillId="24" borderId="38" xfId="0" applyNumberFormat="1" applyFont="1" applyFill="1" applyBorder="1" applyAlignment="1">
      <x:alignment horizontal="center" vertical="center"/>
    </x:xf>
    <x:xf numFmtId="0" fontId="62" fillId="24" borderId="39" xfId="0" applyNumberFormat="1" applyFont="1" applyFill="1" applyBorder="1" applyAlignment="1">
      <x:alignment horizontal="center" vertical="center"/>
    </x:xf>
    <x:xf numFmtId="0" fontId="62" fillId="24" borderId="38" xfId="0" applyNumberFormat="1" applyFont="1" applyFill="1" applyBorder="1" applyAlignment="1">
      <x:alignment horizontal="center" vertical="center"/>
    </x:xf>
    <x:xf numFmtId="165" fontId="62" fillId="24" borderId="40" xfId="0" applyNumberFormat="1" applyFont="1" applyFill="1" applyBorder="1" applyAlignment="1">
      <x:alignment horizontal="center" vertical="center"/>
    </x:xf>
    <x:xf numFmtId="165" fontId="62" fillId="24" borderId="41" xfId="0" applyNumberFormat="1" applyFont="1" applyFill="1" applyBorder="1" applyAlignment="1">
      <x:alignment horizontal="center" vertical="center"/>
    </x:xf>
    <x:xf numFmtId="165" fontId="62" fillId="24" borderId="38" xfId="0" applyNumberFormat="1" applyFont="1" applyFill="1" applyBorder="1" applyAlignment="1">
      <x:alignment horizontal="center" vertical="center"/>
    </x:xf>
    <x:xf numFmtId="0" fontId="62" fillId="24" borderId="35" xfId="0" applyNumberFormat="1" applyFont="1" applyFill="1" applyBorder="1" applyAlignment="1">
      <x:alignment horizontal="center" vertical="center"/>
    </x:xf>
    <x:xf numFmtId="165" fontId="62" fillId="24" borderId="35" xfId="0" applyNumberFormat="1" applyFont="1" applyFill="1" applyBorder="1" applyAlignment="1">
      <x:alignment horizontal="center" vertical="center"/>
    </x:xf>
    <x:xf numFmtId="165" fontId="62" fillId="24" borderId="35" xfId="0" applyNumberFormat="1" applyFont="1" applyFill="1" applyBorder="1" applyAlignment="1">
      <x:alignment horizontal="center" vertical="center" wrapText="1"/>
    </x:xf>
    <x:xf numFmtId="0" fontId="64" fillId="25" borderId="39" xfId="0" applyNumberFormat="1" applyFont="1" applyFill="1" applyBorder="1" applyAlignment="1">
      <x:alignment horizontal="center" vertical="center"/>
    </x:xf>
    <x:xf numFmtId="0" fontId="64" fillId="25" borderId="38" xfId="0" applyNumberFormat="1" applyFont="1" applyFill="1" applyBorder="1" applyAlignment="1">
      <x:alignment horizontal="center" vertical="center"/>
    </x:xf>
    <x:xf numFmtId="165" fontId="60" fillId="25" borderId="40" xfId="0" applyNumberFormat="1" applyFont="1" applyFill="1" applyBorder="1" applyAlignment="1">
      <x:alignment horizontal="center" vertical="center"/>
    </x:xf>
    <x:xf numFmtId="165" fontId="60" fillId="25" borderId="41" xfId="0" applyNumberFormat="1" applyFont="1" applyFill="1" applyBorder="1" applyAlignment="1">
      <x:alignment horizontal="center" vertical="center"/>
    </x:xf>
    <x:xf numFmtId="165" fontId="60" fillId="25" borderId="42" xfId="0" applyNumberFormat="1" applyFont="1" applyFill="1" applyBorder="1" applyAlignment="1">
      <x:alignment horizontal="center" vertical="center"/>
    </x:xf>
    <x:xf numFmtId="0" fontId="60" fillId="25" borderId="30" xfId="0" applyNumberFormat="1" applyFont="1" applyFill="1" applyBorder="1" applyAlignment="1">
      <x:alignment horizontal="center" vertical="center"/>
    </x:xf>
    <x:xf numFmtId="0" fontId="64" fillId="25" borderId="30" xfId="0" applyNumberFormat="1" applyFont="1" applyFill="1" applyBorder="1" applyAlignment="1">
      <x:alignment horizontal="center" vertical="center"/>
    </x:xf>
    <x:xf numFmtId="0" fontId="64" fillId="25" borderId="30" xfId="0" applyNumberFormat="1" applyFont="1" applyFill="1" applyBorder="1" applyAlignment="1">
      <x:alignment horizontal="left" vertical="center"/>
    </x:xf>
    <x:xf numFmtId="165" fontId="60" fillId="25" borderId="43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horizontal="left" vertical="center"/>
    </x:xf>
    <x:xf numFmtId="165" fontId="60" fillId="25" borderId="38" xfId="0" applyNumberFormat="1" applyFont="1" applyFill="1" applyBorder="1" applyAlignment="1">
      <x:alignment horizontal="center" vertical="center"/>
    </x:xf>
    <x:xf numFmtId="49" fontId="60" fillId="25" borderId="30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vertical="center"/>
    </x:xf>
    <x:xf numFmtId="167" fontId="60" fillId="25" borderId="30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horizontal="center" vertical="center"/>
    </x:xf>
    <x:xf numFmtId="49" fontId="60" fillId="25" borderId="37" xfId="0" applyNumberFormat="1" applyFont="1" applyFill="1" applyBorder="1" applyAlignment="1">
      <x:alignment horizontal="left" vertical="center"/>
    </x:xf>
    <x:xf numFmtId="0" fontId="63" fillId="23" borderId="30" xfId="0" applyNumberFormat="1" applyFont="1" applyFill="1" applyBorder="1" applyAlignment="1">
      <x:alignment horizontal="center" vertical="center"/>
    </x:xf>
    <x:xf numFmtId="14" fontId="63" fillId="23" borderId="30" xfId="0" applyNumberFormat="1" applyFont="1" applyFill="1" applyBorder="1" applyAlignment="1">
      <x:alignment horizontal="center" vertical="center" wrapText="1"/>
    </x:xf>
    <x:xf numFmtId="49" fontId="64" fillId="25" borderId="30" xfId="0" applyNumberFormat="1" applyFont="1" applyFill="1" applyBorder="1" applyAlignment="1">
      <x:alignment horizontal="left" vertical="center"/>
    </x:xf>
    <x:xf numFmtId="49" fontId="64" fillId="0" borderId="30" xfId="0" applyNumberFormat="1" applyFont="1" applyFill="1" applyBorder="1" applyAlignment="1">
      <x:alignment horizontal="left" vertical="center"/>
    </x:xf>
    <x:xf numFmtId="165" fontId="64" fillId="0" borderId="30" xfId="0" applyNumberFormat="1" applyFont="1" applyFill="1" applyBorder="1" applyAlignment="1">
      <x:alignment horizontal="center" vertical="center"/>
    </x:xf>
    <x:xf numFmtId="165" fontId="64" fillId="25" borderId="30" xfId="0" applyNumberFormat="1" applyFont="1" applyFill="1" applyBorder="1" applyAlignment="1">
      <x:alignment horizontal="center" vertical="center"/>
    </x:xf>
    <x:xf numFmtId="49" fontId="64" fillId="25" borderId="37" xfId="0" applyNumberFormat="1" applyFont="1" applyFill="1" applyBorder="1" applyAlignment="1">
      <x:alignment horizontal="left" vertical="center"/>
    </x:xf>
    <x:xf numFmtId="16" fontId="64" fillId="0" borderId="0" xfId="0" applyNumberFormat="1" applyFont="1" applyFill="1" applyBorder="1" applyAlignment="1">
      <x:alignment horizontal="center" vertical="center"/>
    </x:xf>
    <x:xf numFmtId="164" fontId="60" fillId="2" borderId="0" xfId="0" applyNumberFormat="1" applyFont="1" applyFill="1" applyBorder="1"/>
    <x:xf numFmtId="164" fontId="64" fillId="0" borderId="0" xfId="0" applyNumberFormat="1" applyFont="1" applyFill="1" applyBorder="1" applyAlignment="1">
      <x:alignment vertical="center"/>
    </x:xf>
    <x:xf numFmtId="14" fontId="64" fillId="0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right"/>
    </x:xf>
    <x:xf numFmtId="0" fontId="64" fillId="0" borderId="0" xfId="0" applyNumberFormat="1" applyFont="1" applyFill="1" applyBorder="1" applyAlignment="1">
      <x:alignment wrapText="1"/>
    </x:xf>
    <x:xf numFmtId="3" fontId="60" fillId="0" borderId="0" xfId="0" applyNumberFormat="1" applyFont="1" applyFill="1" applyBorder="1" applyAlignment="1">
      <x:alignment horizontal="center"/>
    </x:xf>
    <x:xf numFmtId="165" fontId="64" fillId="2" borderId="0" xfId="0" applyNumberFormat="1" applyFont="1" applyFill="1" applyBorder="1" applyAlignment="1">
      <x:alignment vertical="center"/>
    </x:xf>
    <x:xf numFmtId="3" fontId="68" fillId="2" borderId="0" xfId="0" applyNumberFormat="1" applyFont="1" applyFill="1" applyBorder="1" applyAlignment="1">
      <x:alignment horizontal="left"/>
    </x:xf>
    <x:xf numFmtId="0" fontId="60" fillId="2" borderId="0" xfId="0" applyNumberFormat="1" applyFont="1" applyFill="1" applyBorder="1" applyAlignment="1">
      <x:alignment horizontal="left"/>
    </x:xf>
    <x:xf numFmtId="3" fontId="60" fillId="2" borderId="0" xfId="0" applyNumberFormat="1" applyFont="1" applyFill="1" applyBorder="1" applyAlignment="1">
      <x:alignment horizontal="center" vertical="center"/>
    </x:xf>
    <x:xf numFmtId="3" fontId="69" fillId="2" borderId="0" xfId="0" applyNumberFormat="1" applyFont="1" applyFill="1" applyBorder="1" applyAlignment="1">
      <x:alignment horizontal="right"/>
    </x:xf>
    <x:xf numFmtId="14" fontId="64" fillId="0" borderId="0" xfId="0" applyNumberFormat="1" applyFont="1" applyFill="1" applyBorder="1" applyAlignment="1">
      <x:alignment horizontal="center" vertical="center"/>
    </x:xf>
    <x:xf numFmtId="0" fontId="69" fillId="2" borderId="0" xfId="0" applyNumberFormat="1" applyFont="1" applyFill="1" applyBorder="1" applyAlignment="1">
      <x:alignment horizontal="right"/>
    </x:xf>
    <x:xf numFmtId="0" fontId="64" fillId="6" borderId="2" xfId="0" applyNumberFormat="1" applyFont="1" applyFill="1" applyBorder="1" applyAlignment="1">
      <x:alignment horizontal="center" vertical="center"/>
    </x:xf>
    <x:xf numFmtId="0" fontId="64" fillId="6" borderId="4" xfId="0" applyNumberFormat="1" applyFont="1" applyFill="1" applyBorder="1" applyAlignment="1">
      <x:alignment horizontal="center" vertical="center"/>
    </x:xf>
    <x:xf numFmtId="0" fontId="64" fillId="6" borderId="0" xfId="0" applyNumberFormat="1" applyFont="1" applyFill="1" applyBorder="1" applyAlignment="1">
      <x:alignment horizontal="center"/>
    </x:xf>
    <x:xf numFmtId="0" fontId="64" fillId="6" borderId="6" xfId="0" applyNumberFormat="1" applyFont="1" applyFill="1" applyBorder="1" applyAlignment="1">
      <x:alignment horizontal="center" vertical="center"/>
    </x:xf>
    <x:xf numFmtId="0" fontId="64" fillId="6" borderId="7" xfId="0" applyNumberFormat="1" applyFont="1" applyFill="1" applyBorder="1" applyAlignment="1">
      <x:alignment horizontal="center" vertical="center"/>
    </x:xf>
    <x:xf numFmtId="0" fontId="64" fillId="6" borderId="0" xfId="0" applyNumberFormat="1" applyFont="1" applyFill="1" applyBorder="1" applyAlignment="1">
      <x:alignment horizontal="center" vertical="center"/>
    </x:xf>
    <x:xf numFmtId="164" fontId="64" fillId="0" borderId="0" xfId="0" applyNumberFormat="1" applyFont="1" applyFill="1" applyBorder="1" applyAlignment="1">
      <x:alignment horizontal="right" vertical="center"/>
    </x:xf>
    <x:xf numFmtId="3" fontId="64" fillId="6" borderId="8" xfId="0" applyNumberFormat="1" applyFont="1" applyFill="1" applyBorder="1" applyAlignment="1">
      <x:alignment horizontal="center" vertical="center"/>
    </x:xf>
    <x:xf numFmtId="3" fontId="64" fillId="6" borderId="1" xfId="0" applyNumberFormat="1" applyFont="1" applyFill="1" applyBorder="1" applyAlignment="1">
      <x:alignment horizontal="center" vertical="center"/>
    </x:xf>
    <x:xf numFmtId="3" fontId="64" fillId="6" borderId="9" xfId="0" applyNumberFormat="1" applyFont="1" applyFill="1" applyBorder="1" applyAlignment="1">
      <x:alignment horizontal="center" vertical="center"/>
    </x:xf>
    <x:xf numFmtId="0" fontId="64" fillId="2" borderId="0" xfId="0" applyNumberFormat="1" applyFont="1" applyFill="1" applyBorder="1" applyAlignment="1">
      <x:alignment horizontal="left" vertical="center"/>
    </x:xf>
    <x:xf numFmtId="164" fontId="64" fillId="2" borderId="0" xfId="0" applyNumberFormat="1" applyFont="1" applyFill="1" applyBorder="1" applyAlignment="1">
      <x:alignment horizontal="right" vertical="center"/>
    </x:xf>
    <x:xf numFmtId="38" fontId="60" fillId="0" borderId="0" xfId="0" applyNumberFormat="1" applyFont="1" applyFill="1" applyBorder="1" applyAlignment="1">
      <x:alignment vertical="center"/>
    </x:xf>
    <x:xf numFmtId="0" fontId="69" fillId="2" borderId="0" xfId="0" applyNumberFormat="1" applyFont="1" applyFill="1" applyBorder="1" applyAlignment="1">
      <x:alignment horizontal="center" vertical="center"/>
    </x:xf>
    <x:xf numFmtId="0" fontId="64" fillId="0" borderId="2" xfId="0" applyNumberFormat="1" applyFont="1" applyFill="1" applyBorder="1"/>
    <x:xf numFmtId="0" fontId="64" fillId="2" borderId="3" xfId="0" applyNumberFormat="1" applyFont="1" applyFill="1" applyBorder="1" applyAlignment="1">
      <x:alignment vertical="top"/>
    </x:xf>
    <x:xf numFmtId="37" fontId="64" fillId="0" borderId="4" xfId="0" applyNumberFormat="1" applyFont="1" applyFill="1" applyBorder="1" applyAlignment="1">
      <x:alignment horizontal="center" vertical="center"/>
    </x:xf>
    <x:xf numFmtId="37" fontId="64" fillId="0" borderId="3" xfId="0" applyNumberFormat="1" applyFont="1" applyFill="1" applyBorder="1" applyAlignment="1">
      <x:alignment horizontal="center" vertical="center"/>
    </x:xf>
    <x:xf numFmtId="0" fontId="60" fillId="0" borderId="0" xfId="0" applyNumberFormat="1" applyFont="1" applyFill="1" applyBorder="1" applyAlignment="1">
      <x:alignment horizontal="left" vertical="center"/>
    </x:xf>
    <x:xf numFmtId="3" fontId="60" fillId="0" borderId="0" xfId="0" applyNumberFormat="1" applyFont="1" applyFill="1" applyBorder="1" applyAlignment="1">
      <x:alignment horizontal="center" vertical="center"/>
    </x:xf>
    <x:xf numFmtId="0" fontId="60" fillId="2" borderId="2" xfId="0" applyNumberFormat="1" applyFont="1" applyFill="1" applyBorder="1" applyAlignment="1">
      <x:alignment horizontal="left" vertical="center"/>
    </x:xf>
    <x:xf numFmtId="3" fontId="60" fillId="2" borderId="4" xfId="0" applyNumberFormat="1" applyFont="1" applyFill="1" applyBorder="1" applyAlignment="1">
      <x:alignment horizontal="center" vertical="center"/>
    </x:xf>
    <x:xf numFmtId="0" fontId="60" fillId="0" borderId="4" xfId="0" applyNumberFormat="1" applyFont="1" applyFill="1" applyBorder="1" applyAlignment="1">
      <x:alignment horizontal="center" vertical="center"/>
    </x:xf>
    <x:xf numFmtId="3" fontId="60" fillId="0" borderId="4" xfId="0" applyNumberFormat="1" applyFont="1" applyFill="1" applyBorder="1" applyAlignment="1">
      <x:alignment horizontal="center" vertical="center"/>
    </x:xf>
    <x:xf numFmtId="0" fontId="60" fillId="0" borderId="3" xfId="0" applyNumberFormat="1" applyFont="1" applyFill="1" applyBorder="1" applyAlignment="1">
      <x:alignment horizontal="center" vertical="center"/>
    </x:xf>
    <x:xf numFmtId="0" fontId="64" fillId="0" borderId="6" xfId="0" applyNumberFormat="1" applyFont="1" applyFill="1" applyBorder="1"/>
    <x:xf numFmtId="0" fontId="64" fillId="2" borderId="7" xfId="0" applyNumberFormat="1" applyFont="1" applyFill="1" applyBorder="1" applyAlignment="1">
      <x:alignment vertical="top"/>
    </x:xf>
    <x:xf numFmtId="37" fontId="64" fillId="0" borderId="0" xfId="0" applyNumberFormat="1" applyFont="1" applyFill="1" applyBorder="1" applyAlignment="1">
      <x:alignment horizontal="center" vertical="center"/>
    </x:xf>
    <x:xf numFmtId="37" fontId="64" fillId="0" borderId="7" xfId="0" applyNumberFormat="1" applyFont="1" applyFill="1" applyBorder="1" applyAlignment="1">
      <x:alignment horizontal="center" vertical="center"/>
    </x:xf>
    <x:xf numFmtId="0" fontId="60" fillId="2" borderId="6" xfId="0" applyNumberFormat="1" applyFont="1" applyFill="1" applyBorder="1" applyAlignment="1">
      <x:alignment horizontal="left" vertical="center"/>
    </x:xf>
    <x:xf numFmtId="0" fontId="60" fillId="0" borderId="7" xfId="0" applyNumberFormat="1" applyFont="1" applyFill="1" applyBorder="1" applyAlignment="1">
      <x:alignment horizontal="center" vertical="center"/>
    </x:xf>
    <x:xf numFmtId="38" fontId="64" fillId="0" borderId="0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 applyAlignment="1">
      <x:alignment horizontal="center"/>
    </x:xf>
    <x:xf numFmtId="0" fontId="64" fillId="0" borderId="8" xfId="0" applyNumberFormat="1" applyFont="1" applyFill="1" applyBorder="1"/>
    <x:xf numFmtId="0" fontId="64" fillId="2" borderId="9" xfId="0" applyNumberFormat="1" applyFont="1" applyFill="1" applyBorder="1" applyAlignment="1">
      <x:alignment vertical="top"/>
    </x:xf>
    <x:xf numFmtId="37" fontId="64" fillId="0" borderId="1" xfId="0" applyNumberFormat="1" applyFont="1" applyFill="1" applyBorder="1" applyAlignment="1">
      <x:alignment horizontal="center" vertical="center"/>
    </x:xf>
    <x:xf numFmtId="37" fontId="64" fillId="0" borderId="9" xfId="0" applyNumberFormat="1" applyFont="1" applyFill="1" applyBorder="1" applyAlignment="1">
      <x:alignment horizontal="center" vertical="center"/>
    </x:xf>
    <x:xf numFmtId="0" fontId="60" fillId="2" borderId="8" xfId="0" applyNumberFormat="1" applyFont="1" applyFill="1" applyBorder="1" applyAlignment="1">
      <x:alignment horizontal="left" vertical="center"/>
    </x:xf>
    <x:xf numFmtId="3" fontId="60" fillId="2" borderId="1" xfId="0" applyNumberFormat="1" applyFont="1" applyFill="1" applyBorder="1" applyAlignment="1">
      <x:alignment horizontal="center" vertical="center"/>
    </x:xf>
    <x:xf numFmtId="0" fontId="60" fillId="0" borderId="1" xfId="0" applyNumberFormat="1" applyFont="1" applyFill="1" applyBorder="1" applyAlignment="1">
      <x:alignment horizontal="center" vertical="center"/>
    </x:xf>
    <x:xf numFmtId="0" fontId="60" fillId="0" borderId="9" xfId="0" applyNumberFormat="1" applyFont="1" applyFill="1" applyBorder="1" applyAlignment="1">
      <x:alignment horizontal="center" vertical="center"/>
    </x:xf>
    <x:xf numFmtId="0" fontId="60" fillId="0" borderId="0" xfId="0" applyNumberFormat="1" applyFont="1" applyFill="1" applyBorder="1" applyAlignment="1">
      <x:alignment horizontal="left"/>
    </x:xf>
    <x:xf numFmtId="164" fontId="60" fillId="2" borderId="0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 applyAlignment="1">
      <x:alignment horizontal="right"/>
    </x:xf>
    <x:xf numFmtId="2" fontId="60" fillId="0" borderId="0" xfId="0" applyNumberFormat="1" applyFont="1" applyFill="1" applyBorder="1" applyAlignment="1">
      <x:alignment horizontal="center" vertical="center"/>
    </x:xf>
    <x:xf numFmtId="0" fontId="64" fillId="6" borderId="5" xfId="0" applyNumberFormat="1" applyFont="1" applyFill="1" applyBorder="1" applyAlignment="1">
      <x:alignment horizontal="left" vertical="center"/>
    </x:xf>
    <x:xf numFmtId="164" fontId="64" fillId="7" borderId="11" xfId="0" applyNumberFormat="1" applyFont="1" applyFill="1" applyBorder="1" applyAlignment="1">
      <x:alignment horizontal="center"/>
    </x:xf>
    <x:xf numFmtId="164" fontId="64" fillId="7" borderId="10" xfId="0" applyNumberFormat="1" applyFont="1" applyFill="1" applyBorder="1" applyAlignment="1">
      <x:alignment horizontal="center"/>
    </x:xf>
    <x:xf numFmtId="0" fontId="64" fillId="16" borderId="11" xfId="0" applyNumberFormat="1" applyFont="1" applyFill="1" applyBorder="1" applyAlignment="1">
      <x:alignment horizontal="center"/>
    </x:xf>
    <x:xf numFmtId="0" fontId="64" fillId="16" borderId="10" xfId="0" applyNumberFormat="1" applyFont="1" applyFill="1" applyBorder="1" applyAlignment="1">
      <x:alignment horizontal="center"/>
    </x:xf>
    <x:xf numFmtId="0" fontId="64" fillId="10" borderId="11" xfId="0" applyNumberFormat="1" applyFont="1" applyFill="1" applyBorder="1" applyAlignment="1">
      <x:alignment horizontal="center"/>
    </x:xf>
    <x:xf numFmtId="0" fontId="64" fillId="10" borderId="10" xfId="0" applyNumberFormat="1" applyFont="1" applyFill="1" applyBorder="1" applyAlignment="1">
      <x:alignment horizontal="center"/>
    </x:xf>
    <x:xf numFmtId="0" fontId="64" fillId="8" borderId="11" xfId="0" applyNumberFormat="1" applyFont="1" applyFill="1" applyBorder="1" applyAlignment="1">
      <x:alignment horizontal="center" vertical="center"/>
    </x:xf>
    <x:xf numFmtId="0" fontId="64" fillId="8" borderId="10" xfId="0" applyNumberFormat="1" applyFont="1" applyFill="1" applyBorder="1" applyAlignment="1">
      <x:alignment horizontal="center" vertical="center"/>
    </x:xf>
    <x:xf numFmtId="0" fontId="64" fillId="12" borderId="11" xfId="0" applyNumberFormat="1" applyFont="1" applyFill="1" applyBorder="1" applyAlignment="1">
      <x:alignment horizontal="center" vertical="center"/>
    </x:xf>
    <x:xf numFmtId="0" fontId="64" fillId="12" borderId="10" xfId="0" applyNumberFormat="1" applyFont="1" applyFill="1" applyBorder="1" applyAlignment="1">
      <x:alignment horizontal="center" vertical="center"/>
    </x:xf>
    <x:xf numFmtId="0" fontId="64" fillId="8" borderId="11" xfId="0" applyNumberFormat="1" applyFont="1" applyFill="1" applyBorder="1" applyAlignment="1">
      <x:alignment horizontal="center"/>
    </x:xf>
    <x:xf numFmtId="0" fontId="64" fillId="8" borderId="10" xfId="0" applyNumberFormat="1" applyFont="1" applyFill="1" applyBorder="1" applyAlignment="1">
      <x:alignment horizontal="center"/>
    </x:xf>
    <x:xf numFmtId="0" fontId="64" fillId="12" borderId="11" xfId="0" applyNumberFormat="1" applyFont="1" applyFill="1" applyBorder="1" applyAlignment="1">
      <x:alignment horizontal="center"/>
    </x:xf>
    <x:xf numFmtId="0" fontId="64" fillId="12" borderId="10" xfId="0" applyNumberFormat="1" applyFont="1" applyFill="1" applyBorder="1" applyAlignment="1">
      <x:alignment horizontal="center"/>
    </x:xf>
    <x:xf numFmtId="0" fontId="64" fillId="6" borderId="13" xfId="0" applyNumberFormat="1" applyFont="1" applyFill="1" applyBorder="1" applyAlignment="1">
      <x:alignment horizontal="left" vertical="center"/>
    </x:xf>
    <x:xf numFmtId="164" fontId="60" fillId="7" borderId="8" xfId="0" applyNumberFormat="1" applyFont="1" applyFill="1" applyBorder="1" applyAlignment="1">
      <x:alignment horizontal="center" vertical="center"/>
    </x:xf>
    <x:xf numFmtId="164" fontId="60" fillId="7" borderId="14" xfId="0" applyNumberFormat="1" applyFont="1" applyFill="1" applyBorder="1" applyAlignment="1">
      <x:alignment horizontal="center" vertical="center"/>
    </x:xf>
    <x:xf numFmtId="0" fontId="60" fillId="16" borderId="14" xfId="0" applyNumberFormat="1" applyFont="1" applyFill="1" applyBorder="1" applyAlignment="1">
      <x:alignment horizontal="center" vertical="center"/>
    </x:xf>
    <x:xf numFmtId="0" fontId="60" fillId="16" borderId="10" xfId="0" applyNumberFormat="1" applyFont="1" applyFill="1" applyBorder="1" applyAlignment="1">
      <x:alignment horizontal="center" vertical="center"/>
    </x:xf>
    <x:xf numFmtId="0" fontId="60" fillId="10" borderId="12" xfId="0" applyNumberFormat="1" applyFont="1" applyFill="1" applyBorder="1" applyAlignment="1">
      <x:alignment horizontal="center" vertical="center"/>
    </x:xf>
    <x:xf numFmtId="0" fontId="60" fillId="10" borderId="14" xfId="0" applyNumberFormat="1" applyFont="1" applyFill="1" applyBorder="1" applyAlignment="1">
      <x:alignment horizontal="center" vertical="center"/>
    </x:xf>
    <x:xf numFmtId="0" fontId="60" fillId="8" borderId="11" xfId="0" applyNumberFormat="1" applyFont="1" applyFill="1" applyBorder="1" applyAlignment="1">
      <x:alignment horizontal="center" vertical="center"/>
    </x:xf>
    <x:xf numFmtId="0" fontId="60" fillId="8" borderId="14" xfId="0" applyNumberFormat="1" applyFont="1" applyFill="1" applyBorder="1" applyAlignment="1">
      <x:alignment horizontal="center" vertical="center"/>
    </x:xf>
    <x:xf numFmtId="0" fontId="60" fillId="12" borderId="11" xfId="0" applyNumberFormat="1" applyFont="1" applyFill="1" applyBorder="1" applyAlignment="1">
      <x:alignment horizontal="center" vertical="center"/>
    </x:xf>
    <x:xf numFmtId="0" fontId="60" fillId="12" borderId="14" xfId="0" applyNumberFormat="1" applyFont="1" applyFill="1" applyBorder="1" applyAlignment="1">
      <x:alignment horizontal="center" vertical="center"/>
    </x:xf>
    <x:xf numFmtId="164" fontId="60" fillId="16" borderId="14" xfId="0" applyNumberFormat="1" applyFont="1" applyFill="1" applyBorder="1" applyAlignment="1">
      <x:alignment horizontal="center" vertical="center"/>
    </x:xf>
    <x:xf numFmtId="164" fontId="60" fillId="8" borderId="14" xfId="0" applyNumberFormat="1" applyFont="1" applyFill="1" applyBorder="1" applyAlignment="1">
      <x:alignment horizontal="center" vertical="center"/>
    </x:xf>
    <x:xf numFmtId="0" fontId="64" fillId="0" borderId="5" xfId="0" applyNumberFormat="1" applyFont="1" applyFill="1" applyBorder="1"/>
    <x:xf numFmtId="0" fontId="64" fillId="0" borderId="15" xfId="0" applyNumberFormat="1" applyFont="1" applyFill="1" applyBorder="1"/>
    <x:xf numFmtId="164" fontId="60" fillId="7" borderId="6" xfId="0" applyNumberFormat="1" applyFont="1" applyFill="1" applyBorder="1" applyAlignment="1">
      <x:alignment horizontal="center" vertical="center"/>
    </x:xf>
    <x:xf numFmtId="165" fontId="60" fillId="17" borderId="6" xfId="0" applyNumberFormat="1" applyFont="1" applyFill="1" applyBorder="1" applyAlignment="1">
      <x:alignment horizontal="center" vertical="center"/>
    </x:xf>
    <x:xf numFmtId="165" fontId="60" fillId="11" borderId="6" xfId="0" applyNumberFormat="1" applyFont="1" applyFill="1" applyBorder="1" applyAlignment="1">
      <x:alignment horizontal="center" vertical="center"/>
    </x:xf>
    <x:xf numFmtId="165" fontId="60" fillId="9" borderId="6" xfId="0" applyNumberFormat="1" applyFont="1" applyFill="1" applyBorder="1" applyAlignment="1">
      <x:alignment horizontal="center" vertical="center"/>
    </x:xf>
    <x:xf numFmtId="165" fontId="60" fillId="13" borderId="6" xfId="0" applyNumberFormat="1" applyFont="1" applyFill="1" applyBorder="1" applyAlignment="1">
      <x:alignment horizontal="center" vertical="center"/>
    </x:xf>
    <x:xf numFmtId="165" fontId="60" fillId="9" borderId="15" xfId="0" applyNumberFormat="1" applyFont="1" applyFill="1" applyBorder="1" applyAlignment="1">
      <x:alignment horizontal="center" vertical="center"/>
    </x:xf>
    <x:xf numFmtId="164" fontId="60" fillId="9" borderId="15" xfId="0" applyNumberFormat="1" applyFont="1" applyFill="1" applyBorder="1" applyAlignment="1">
      <x:alignment horizontal="center" vertical="center"/>
    </x:xf>
    <x:xf numFmtId="0" fontId="60" fillId="0" borderId="14" xfId="0" applyNumberFormat="1" applyFont="1" applyFill="1" applyBorder="1"/>
    <x:xf numFmtId="164" fontId="64" fillId="7" borderId="14" xfId="0" applyNumberFormat="1" applyFont="1" applyFill="1" applyBorder="1" applyAlignment="1">
      <x:alignment horizontal="center" vertical="center"/>
    </x:xf>
    <x:xf numFmtId="165" fontId="64" fillId="17" borderId="11" xfId="0" applyNumberFormat="1" applyFont="1" applyFill="1" applyBorder="1" applyAlignment="1">
      <x:alignment horizontal="center"/>
    </x:xf>
    <x:xf numFmtId="165" fontId="64" fillId="11" borderId="11" xfId="0" applyNumberFormat="1" applyFont="1" applyFill="1" applyBorder="1" applyAlignment="1">
      <x:alignment horizontal="center"/>
    </x:xf>
    <x:xf numFmtId="165" fontId="64" fillId="9" borderId="11" xfId="0" applyNumberFormat="1" applyFont="1" applyFill="1" applyBorder="1" applyAlignment="1">
      <x:alignment horizontal="center" vertical="center"/>
    </x:xf>
    <x:xf numFmtId="165" fontId="60" fillId="13" borderId="11" xfId="0" applyNumberFormat="1" applyFont="1" applyFill="1" applyBorder="1" applyAlignment="1">
      <x:alignment horizontal="center" vertical="center"/>
    </x:xf>
    <x:xf numFmtId="165" fontId="64" fillId="9" borderId="11" xfId="0" applyNumberFormat="1" applyFont="1" applyFill="1" applyBorder="1" applyAlignment="1">
      <x:alignment horizontal="center"/>
    </x:xf>
    <x:xf numFmtId="165" fontId="64" fillId="9" borderId="14" xfId="0" applyNumberFormat="1" applyFont="1" applyFill="1" applyBorder="1" applyAlignment="1">
      <x:alignment horizontal="center"/>
    </x:xf>
    <x:xf numFmtId="165" fontId="60" fillId="13" borderId="11" xfId="0" applyNumberFormat="1" applyFont="1" applyFill="1" applyBorder="1" applyAlignment="1">
      <x:alignment horizontal="center"/>
    </x:xf>
    <x:xf numFmtId="164" fontId="64" fillId="9" borderId="14" xfId="0" applyNumberFormat="1" applyFont="1" applyFill="1" applyBorder="1" applyAlignment="1">
      <x:alignment horizontal="center"/>
    </x:xf>
    <x:xf numFmtId="164" fontId="60" fillId="2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right" vertical="center"/>
    </x:xf>
    <x:xf numFmtId="0" fontId="64" fillId="0" borderId="0" xfId="0" applyNumberFormat="1" applyFont="1" applyFill="1" applyBorder="1" applyAlignment="1">
      <x:alignment vertical="center" wrapText="1"/>
    </x:xf>
    <x:xf numFmtId="3" fontId="68" fillId="2" borderId="0" xfId="0" applyNumberFormat="1" applyFont="1" applyFill="1" applyBorder="1" applyAlignment="1">
      <x:alignment horizontal="left" vertical="center"/>
    </x:xf>
    <x:xf numFmtId="0" fontId="60" fillId="2" borderId="0" xfId="0" applyNumberFormat="1" applyFont="1" applyFill="1" applyBorder="1" applyAlignment="1">
      <x:alignment horizontal="left" vertical="center"/>
    </x:xf>
    <x:xf numFmtId="3" fontId="69" fillId="2" borderId="0" xfId="0" applyNumberFormat="1" applyFont="1" applyFill="1" applyBorder="1" applyAlignment="1">
      <x:alignment horizontal="right" vertical="center"/>
    </x:xf>
    <x:xf numFmtId="0" fontId="69" fillId="2" borderId="0" xfId="0" applyNumberFormat="1" applyFont="1" applyFill="1" applyBorder="1" applyAlignment="1">
      <x:alignment horizontal="right" vertical="center"/>
    </x:xf>
    <x:xf numFmtId="0" fontId="64" fillId="0" borderId="2" xfId="0" applyNumberFormat="1" applyFont="1" applyFill="1" applyBorder="1" applyAlignment="1">
      <x:alignment vertical="center"/>
    </x:xf>
    <x:xf numFmtId="0" fontId="64" fillId="2" borderId="3" xfId="0" applyNumberFormat="1" applyFont="1" applyFill="1" applyBorder="1" applyAlignment="1">
      <x:alignment vertical="center"/>
    </x:xf>
    <x:xf numFmtId="0" fontId="64" fillId="0" borderId="6" xfId="0" applyNumberFormat="1" applyFont="1" applyFill="1" applyBorder="1" applyAlignment="1">
      <x:alignment vertical="center"/>
    </x:xf>
    <x:xf numFmtId="0" fontId="64" fillId="2" borderId="7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 applyAlignment="1">
      <x:alignment horizontal="center" vertical="center"/>
    </x:xf>
    <x:xf numFmtId="0" fontId="64" fillId="0" borderId="8" xfId="0" applyNumberFormat="1" applyFont="1" applyFill="1" applyBorder="1" applyAlignment="1">
      <x:alignment vertical="center"/>
    </x:xf>
    <x:xf numFmtId="0" fontId="64" fillId="2" borderId="9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horizontal="right" vertical="center"/>
    </x:xf>
    <x:xf numFmtId="164" fontId="64" fillId="7" borderId="11" xfId="0" applyNumberFormat="1" applyFont="1" applyFill="1" applyBorder="1" applyAlignment="1">
      <x:alignment horizontal="center" vertical="center"/>
    </x:xf>
    <x:xf numFmtId="164" fontId="64" fillId="7" borderId="10" xfId="0" applyNumberFormat="1" applyFont="1" applyFill="1" applyBorder="1" applyAlignment="1">
      <x:alignment horizontal="center" vertical="center"/>
    </x:xf>
    <x:xf numFmtId="0" fontId="64" fillId="16" borderId="11" xfId="0" applyNumberFormat="1" applyFont="1" applyFill="1" applyBorder="1" applyAlignment="1">
      <x:alignment horizontal="center" vertical="center"/>
    </x:xf>
    <x:xf numFmtId="0" fontId="64" fillId="16" borderId="10" xfId="0" applyNumberFormat="1" applyFont="1" applyFill="1" applyBorder="1" applyAlignment="1">
      <x:alignment horizontal="center" vertical="center"/>
    </x:xf>
    <x:xf numFmtId="0" fontId="64" fillId="10" borderId="11" xfId="0" applyNumberFormat="1" applyFont="1" applyFill="1" applyBorder="1" applyAlignment="1">
      <x:alignment horizontal="center" vertical="center"/>
    </x:xf>
    <x:xf numFmtId="0" fontId="64" fillId="10" borderId="10" xfId="0" applyNumberFormat="1" applyFont="1" applyFill="1" applyBorder="1" applyAlignment="1">
      <x:alignment horizontal="center" vertical="center"/>
    </x:xf>
    <x:xf numFmtId="0" fontId="64" fillId="0" borderId="5" xfId="0" applyNumberFormat="1" applyFont="1" applyFill="1" applyBorder="1" applyAlignment="1">
      <x:alignment vertical="center"/>
    </x:xf>
    <x:xf numFmtId="0" fontId="64" fillId="0" borderId="15" xfId="0" applyNumberFormat="1" applyFont="1" applyFill="1" applyBorder="1" applyAlignment="1">
      <x:alignment vertical="center"/>
    </x:xf>
    <x:xf numFmtId="0" fontId="60" fillId="0" borderId="14" xfId="0" applyNumberFormat="1" applyFont="1" applyFill="1" applyBorder="1" applyAlignment="1">
      <x:alignment vertical="center"/>
    </x:xf>
    <x:xf numFmtId="165" fontId="64" fillId="17" borderId="11" xfId="0" applyNumberFormat="1" applyFont="1" applyFill="1" applyBorder="1" applyAlignment="1">
      <x:alignment horizontal="center" vertical="center"/>
    </x:xf>
    <x:xf numFmtId="165" fontId="64" fillId="11" borderId="11" xfId="0" applyNumberFormat="1" applyFont="1" applyFill="1" applyBorder="1" applyAlignment="1">
      <x:alignment horizontal="center" vertical="center"/>
    </x:xf>
    <x:xf numFmtId="165" fontId="64" fillId="9" borderId="14" xfId="0" applyNumberFormat="1" applyFont="1" applyFill="1" applyBorder="1" applyAlignment="1">
      <x:alignment horizontal="center" vertical="center"/>
    </x:xf>
    <x:xf numFmtId="164" fontId="64" fillId="9" borderId="14" xfId="0" applyNumberFormat="1" applyFont="1" applyFill="1" applyBorder="1" applyAlignment="1">
      <x:alignment horizontal="center" vertical="center"/>
    </x:xf>
    <x:xf numFmtId="0" fontId="60" fillId="2" borderId="36" xfId="0" applyNumberFormat="1" applyFont="1" applyFill="1" applyBorder="1" applyAlignment="1">
      <x:alignment vertical="center"/>
    </x:xf>
    <x:xf numFmtId="16" fontId="64" fillId="0" borderId="36" xfId="0" applyNumberFormat="1" applyFont="1" applyFill="1" applyBorder="1" applyAlignment="1">
      <x:alignment horizontal="center" vertical="center"/>
    </x:xf>
    <x:xf numFmtId="0" fontId="60" fillId="2" borderId="36" xfId="0" applyNumberFormat="1" applyFont="1" applyFill="1" applyBorder="1" applyAlignment="1">
      <x:alignment horizontal="center" vertical="center"/>
    </x:xf>
    <x:xf numFmtId="164" fontId="60" fillId="2" borderId="36" xfId="0" applyNumberFormat="1" applyFont="1" applyFill="1" applyBorder="1" applyAlignment="1">
      <x:alignment vertical="center"/>
    </x:xf>
    <x:xf numFmtId="165" fontId="60" fillId="0" borderId="36" xfId="0" applyNumberFormat="1" applyFont="1" applyFill="1" applyBorder="1" applyAlignment="1">
      <x:alignment vertical="center"/>
    </x:xf>
    <x:xf numFmtId="14" fontId="64" fillId="0" borderId="30" xfId="0" applyNumberFormat="1" applyFont="1" applyFill="1" applyBorder="1" applyAlignment="1">
      <x:alignment vertical="center"/>
    </x:xf>
    <x:xf numFmtId="164" fontId="60" fillId="2" borderId="30" xfId="0" applyNumberFormat="1" applyFont="1" applyFill="1" applyBorder="1" applyAlignment="1">
      <x:alignment horizontal="right" vertical="center"/>
    </x:xf>
    <x:xf numFmtId="164" fontId="60" fillId="2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vertical="center" wrapText="1"/>
    </x:xf>
    <x:xf numFmtId="3" fontId="60" fillId="0" borderId="30" xfId="0" applyNumberFormat="1" applyFont="1" applyFill="1" applyBorder="1" applyAlignment="1">
      <x:alignment horizontal="center" vertical="center"/>
    </x:xf>
    <x:xf numFmtId="165" fontId="64" fillId="2" borderId="30" xfId="0" applyNumberFormat="1" applyFont="1" applyFill="1" applyBorder="1" applyAlignment="1">
      <x:alignment vertical="center"/>
    </x:xf>
    <x:xf numFmtId="3" fontId="68" fillId="2" borderId="30" xfId="0" applyNumberFormat="1" applyFont="1" applyFill="1" applyBorder="1" applyAlignment="1">
      <x:alignment horizontal="left" vertical="center"/>
    </x:xf>
    <x:xf numFmtId="0" fontId="60" fillId="2" borderId="30" xfId="0" applyNumberFormat="1" applyFont="1" applyFill="1" applyBorder="1" applyAlignment="1">
      <x:alignment horizontal="left" vertical="center"/>
    </x:xf>
    <x:xf numFmtId="3" fontId="60" fillId="2" borderId="30" xfId="0" applyNumberFormat="1" applyFont="1" applyFill="1" applyBorder="1" applyAlignment="1">
      <x:alignment horizontal="center" vertical="center"/>
    </x:xf>
    <x:xf numFmtId="3" fontId="69" fillId="2" borderId="30" xfId="0" applyNumberFormat="1" applyFont="1" applyFill="1" applyBorder="1" applyAlignment="1">
      <x:alignment horizontal="right" vertical="center"/>
    </x:xf>
    <x:xf numFmtId="14" fontId="64" fillId="0" borderId="30" xfId="0" applyNumberFormat="1" applyFont="1" applyFill="1" applyBorder="1" applyAlignment="1">
      <x:alignment horizontal="center" vertical="center"/>
    </x:xf>
    <x:xf numFmtId="0" fontId="69" fillId="2" borderId="30" xfId="0" applyNumberFormat="1" applyFont="1" applyFill="1" applyBorder="1" applyAlignment="1">
      <x:alignment horizontal="right" vertical="center"/>
    </x:xf>
    <x:xf numFmtId="0" fontId="64" fillId="6" borderId="43" xfId="0" applyNumberFormat="1" applyFont="1" applyFill="1" applyBorder="1" applyAlignment="1">
      <x:alignment horizontal="center" vertical="center"/>
    </x:xf>
    <x:xf numFmtId="0" fontId="64" fillId="6" borderId="30" xfId="0" applyNumberFormat="1" applyFont="1" applyFill="1" applyBorder="1" applyAlignment="1">
      <x:alignment horizontal="center" vertical="center"/>
    </x:xf>
    <x:xf numFmtId="164" fontId="64" fillId="0" borderId="30" xfId="0" applyNumberFormat="1" applyFont="1" applyFill="1" applyBorder="1" applyAlignment="1">
      <x:alignment horizontal="right" vertical="center"/>
    </x:xf>
    <x:xf numFmtId="3" fontId="64" fillId="6" borderId="43" xfId="0" applyNumberFormat="1" applyFont="1" applyFill="1" applyBorder="1" applyAlignment="1">
      <x:alignment horizontal="center" vertical="center"/>
    </x:xf>
    <x:xf numFmtId="3" fontId="64" fillId="6" borderId="30" xfId="0" applyNumberFormat="1" applyFont="1" applyFill="1" applyBorder="1" applyAlignment="1">
      <x:alignment horizontal="center" vertical="center"/>
    </x:xf>
    <x:xf numFmtId="3" fontId="64" fillId="6" borderId="38" xfId="0" applyNumberFormat="1" applyFont="1" applyFill="1" applyBorder="1" applyAlignment="1">
      <x:alignment horizontal="center" vertical="center"/>
    </x:xf>
    <x:xf numFmtId="0" fontId="64" fillId="2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horizontal="right" vertical="center"/>
    </x:xf>
    <x:xf numFmtId="38" fontId="60" fillId="0" borderId="30" xfId="0" applyNumberFormat="1" applyFont="1" applyFill="1" applyBorder="1" applyAlignment="1">
      <x:alignment vertical="center"/>
    </x:xf>
    <x:xf numFmtId="0" fontId="69" fillId="2" borderId="30" xfId="0" applyNumberFormat="1" applyFont="1" applyFill="1" applyBorder="1" applyAlignment="1">
      <x:alignment horizontal="center" vertical="center"/>
    </x:xf>
    <x:xf numFmtId="0" fontId="64" fillId="0" borderId="43" xfId="0" applyNumberFormat="1" applyFont="1" applyFill="1" applyBorder="1" applyAlignment="1">
      <x:alignment vertical="center"/>
    </x:xf>
    <x:xf numFmtId="0" fontId="64" fillId="2" borderId="38" xfId="0" applyNumberFormat="1" applyFont="1" applyFill="1" applyBorder="1" applyAlignment="1">
      <x:alignment vertical="center"/>
    </x:xf>
    <x:xf numFmtId="37" fontId="64" fillId="0" borderId="30" xfId="0" applyNumberFormat="1" applyFont="1" applyFill="1" applyBorder="1" applyAlignment="1">
      <x:alignment horizontal="center" vertical="center"/>
    </x:xf>
    <x:xf numFmtId="37" fontId="64" fillId="0" borderId="38" xfId="0" applyNumberFormat="1" applyFont="1" applyFill="1" applyBorder="1" applyAlignment="1">
      <x:alignment horizontal="center" vertical="center"/>
    </x:xf>
    <x:xf numFmtId="0" fontId="60" fillId="0" borderId="30" xfId="0" applyNumberFormat="1" applyFont="1" applyFill="1" applyBorder="1" applyAlignment="1">
      <x:alignment horizontal="left" vertical="center"/>
    </x:xf>
    <x:xf numFmtId="0" fontId="60" fillId="2" borderId="43" xfId="0" applyNumberFormat="1" applyFont="1" applyFill="1" applyBorder="1" applyAlignment="1">
      <x:alignment horizontal="left" vertical="center"/>
    </x:xf>
    <x:xf numFmtId="0" fontId="60" fillId="0" borderId="38" xfId="0" applyNumberFormat="1" applyFont="1" applyFill="1" applyBorder="1" applyAlignment="1">
      <x:alignment horizontal="center" vertical="center"/>
    </x:xf>
    <x:xf numFmtId="38" fontId="64" fillId="0" borderId="30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horizontal="center" vertical="center"/>
    </x:xf>
    <x:xf numFmtId="164" fontId="60" fillId="2" borderId="30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horizontal="right" vertical="center"/>
    </x:xf>
    <x:xf numFmtId="2" fontId="60" fillId="0" borderId="30" xfId="0" applyNumberFormat="1" applyFont="1" applyFill="1" applyBorder="1" applyAlignment="1">
      <x:alignment horizontal="center" vertical="center"/>
    </x:xf>
    <x:xf numFmtId="0" fontId="64" fillId="6" borderId="44" xfId="0" applyNumberFormat="1" applyFont="1" applyFill="1" applyBorder="1" applyAlignment="1">
      <x:alignment horizontal="left" vertical="center"/>
    </x:xf>
    <x:xf numFmtId="164" fontId="64" fillId="7" borderId="43" xfId="0" applyNumberFormat="1" applyFont="1" applyFill="1" applyBorder="1" applyAlignment="1">
      <x:alignment horizontal="center" vertical="center"/>
    </x:xf>
    <x:xf numFmtId="164" fontId="64" fillId="7" borderId="38" xfId="0" applyNumberFormat="1" applyFont="1" applyFill="1" applyBorder="1" applyAlignment="1">
      <x:alignment horizontal="center" vertical="center"/>
    </x:xf>
    <x:xf numFmtId="0" fontId="64" fillId="16" borderId="43" xfId="0" applyNumberFormat="1" applyFont="1" applyFill="1" applyBorder="1" applyAlignment="1">
      <x:alignment horizontal="center" vertical="center"/>
    </x:xf>
    <x:xf numFmtId="0" fontId="64" fillId="16" borderId="38" xfId="0" applyNumberFormat="1" applyFont="1" applyFill="1" applyBorder="1" applyAlignment="1">
      <x:alignment horizontal="center" vertical="center"/>
    </x:xf>
    <x:xf numFmtId="0" fontId="64" fillId="10" borderId="43" xfId="0" applyNumberFormat="1" applyFont="1" applyFill="1" applyBorder="1" applyAlignment="1">
      <x:alignment horizontal="center" vertical="center"/>
    </x:xf>
    <x:xf numFmtId="0" fontId="64" fillId="10" borderId="38" xfId="0" applyNumberFormat="1" applyFont="1" applyFill="1" applyBorder="1" applyAlignment="1">
      <x:alignment horizontal="center" vertical="center"/>
    </x:xf>
    <x:xf numFmtId="0" fontId="64" fillId="8" borderId="43" xfId="0" applyNumberFormat="1" applyFont="1" applyFill="1" applyBorder="1" applyAlignment="1">
      <x:alignment horizontal="center" vertical="center"/>
    </x:xf>
    <x:xf numFmtId="0" fontId="64" fillId="8" borderId="38" xfId="0" applyNumberFormat="1" applyFont="1" applyFill="1" applyBorder="1" applyAlignment="1">
      <x:alignment horizontal="center" vertical="center"/>
    </x:xf>
    <x:xf numFmtId="0" fontId="64" fillId="12" borderId="43" xfId="0" applyNumberFormat="1" applyFont="1" applyFill="1" applyBorder="1" applyAlignment="1">
      <x:alignment horizontal="center" vertical="center"/>
    </x:xf>
    <x:xf numFmtId="0" fontId="64" fillId="12" borderId="38" xfId="0" applyNumberFormat="1" applyFont="1" applyFill="1" applyBorder="1" applyAlignment="1">
      <x:alignment horizontal="center" vertical="center"/>
    </x:xf>
    <x:xf numFmtId="164" fontId="60" fillId="7" borderId="43" xfId="0" applyNumberFormat="1" applyFont="1" applyFill="1" applyBorder="1" applyAlignment="1">
      <x:alignment horizontal="center" vertical="center"/>
    </x:xf>
    <x:xf numFmtId="164" fontId="60" fillId="7" borderId="44" xfId="0" applyNumberFormat="1" applyFont="1" applyFill="1" applyBorder="1" applyAlignment="1">
      <x:alignment horizontal="center" vertical="center"/>
    </x:xf>
    <x:xf numFmtId="0" fontId="60" fillId="16" borderId="44" xfId="0" applyNumberFormat="1" applyFont="1" applyFill="1" applyBorder="1" applyAlignment="1">
      <x:alignment horizontal="center" vertical="center"/>
    </x:xf>
    <x:xf numFmtId="0" fontId="60" fillId="16" borderId="38" xfId="0" applyNumberFormat="1" applyFont="1" applyFill="1" applyBorder="1" applyAlignment="1">
      <x:alignment horizontal="center" vertical="center"/>
    </x:xf>
    <x:xf numFmtId="0" fontId="60" fillId="10" borderId="30" xfId="0" applyNumberFormat="1" applyFont="1" applyFill="1" applyBorder="1" applyAlignment="1">
      <x:alignment horizontal="center" vertical="center"/>
    </x:xf>
    <x:xf numFmtId="0" fontId="60" fillId="10" borderId="44" xfId="0" applyNumberFormat="1" applyFont="1" applyFill="1" applyBorder="1" applyAlignment="1">
      <x:alignment horizontal="center" vertical="center"/>
    </x:xf>
    <x:xf numFmtId="0" fontId="60" fillId="8" borderId="43" xfId="0" applyNumberFormat="1" applyFont="1" applyFill="1" applyBorder="1" applyAlignment="1">
      <x:alignment horizontal="center" vertical="center"/>
    </x:xf>
    <x:xf numFmtId="0" fontId="60" fillId="8" borderId="44" xfId="0" applyNumberFormat="1" applyFont="1" applyFill="1" applyBorder="1" applyAlignment="1">
      <x:alignment horizontal="center" vertical="center"/>
    </x:xf>
    <x:xf numFmtId="0" fontId="60" fillId="12" borderId="43" xfId="0" applyNumberFormat="1" applyFont="1" applyFill="1" applyBorder="1" applyAlignment="1">
      <x:alignment horizontal="center" vertical="center"/>
    </x:xf>
    <x:xf numFmtId="0" fontId="60" fillId="12" borderId="44" xfId="0" applyNumberFormat="1" applyFont="1" applyFill="1" applyBorder="1" applyAlignment="1">
      <x:alignment horizontal="center" vertical="center"/>
    </x:xf>
    <x:xf numFmtId="164" fontId="60" fillId="16" borderId="44" xfId="0" applyNumberFormat="1" applyFont="1" applyFill="1" applyBorder="1" applyAlignment="1">
      <x:alignment horizontal="center" vertical="center"/>
    </x:xf>
    <x:xf numFmtId="164" fontId="60" fillId="8" borderId="44" xfId="0" applyNumberFormat="1" applyFont="1" applyFill="1" applyBorder="1" applyAlignment="1">
      <x:alignment horizontal="center" vertical="center"/>
    </x:xf>
    <x:xf numFmtId="0" fontId="64" fillId="0" borderId="38" xfId="0" applyNumberFormat="1" applyFont="1" applyFill="1" applyBorder="1" applyAlignment="1">
      <x:alignment vertical="center"/>
    </x:xf>
    <x:xf numFmtId="0" fontId="64" fillId="0" borderId="44" xfId="0" applyNumberFormat="1" applyFont="1" applyFill="1" applyBorder="1" applyAlignment="1">
      <x:alignment vertical="center"/>
    </x:xf>
    <x:xf numFmtId="165" fontId="60" fillId="17" borderId="43" xfId="0" applyNumberFormat="1" applyFont="1" applyFill="1" applyBorder="1" applyAlignment="1">
      <x:alignment horizontal="center" vertical="center"/>
    </x:xf>
    <x:xf numFmtId="165" fontId="60" fillId="11" borderId="43" xfId="0" applyNumberFormat="1" applyFont="1" applyFill="1" applyBorder="1" applyAlignment="1">
      <x:alignment horizontal="center" vertical="center"/>
    </x:xf>
    <x:xf numFmtId="165" fontId="60" fillId="9" borderId="43" xfId="0" applyNumberFormat="1" applyFont="1" applyFill="1" applyBorder="1" applyAlignment="1">
      <x:alignment horizontal="center" vertical="center"/>
    </x:xf>
    <x:xf numFmtId="165" fontId="60" fillId="13" borderId="43" xfId="0" applyNumberFormat="1" applyFont="1" applyFill="1" applyBorder="1" applyAlignment="1">
      <x:alignment horizontal="center" vertical="center"/>
    </x:xf>
    <x:xf numFmtId="165" fontId="60" fillId="9" borderId="44" xfId="0" applyNumberFormat="1" applyFont="1" applyFill="1" applyBorder="1" applyAlignment="1">
      <x:alignment horizontal="center" vertical="center"/>
    </x:xf>
    <x:xf numFmtId="164" fontId="60" fillId="9" borderId="44" xfId="0" applyNumberFormat="1" applyFont="1" applyFill="1" applyBorder="1" applyAlignment="1">
      <x:alignment horizontal="center" vertical="center"/>
    </x:xf>
    <x:xf numFmtId="0" fontId="60" fillId="0" borderId="44" xfId="0" applyNumberFormat="1" applyFont="1" applyFill="1" applyBorder="1" applyAlignment="1">
      <x:alignment vertical="center"/>
    </x:xf>
    <x:xf numFmtId="164" fontId="64" fillId="7" borderId="44" xfId="0" applyNumberFormat="1" applyFont="1" applyFill="1" applyBorder="1" applyAlignment="1">
      <x:alignment horizontal="center" vertical="center"/>
    </x:xf>
    <x:xf numFmtId="165" fontId="64" fillId="17" borderId="43" xfId="0" applyNumberFormat="1" applyFont="1" applyFill="1" applyBorder="1" applyAlignment="1">
      <x:alignment horizontal="center" vertical="center"/>
    </x:xf>
    <x:xf numFmtId="165" fontId="64" fillId="11" borderId="43" xfId="0" applyNumberFormat="1" applyFont="1" applyFill="1" applyBorder="1" applyAlignment="1">
      <x:alignment horizontal="center" vertical="center"/>
    </x:xf>
    <x:xf numFmtId="165" fontId="64" fillId="9" borderId="43" xfId="0" applyNumberFormat="1" applyFont="1" applyFill="1" applyBorder="1" applyAlignment="1">
      <x:alignment horizontal="center" vertical="center"/>
    </x:xf>
    <x:xf numFmtId="165" fontId="64" fillId="9" borderId="44" xfId="0" applyNumberFormat="1" applyFont="1" applyFill="1" applyBorder="1" applyAlignment="1">
      <x:alignment horizontal="center" vertical="center"/>
    </x:xf>
    <x:xf numFmtId="164" fontId="64" fillId="9" borderId="44" xfId="0" applyNumberFormat="1" applyFont="1" applyFill="1" applyBorder="1" applyAlignment="1">
      <x:alignment horizontal="center" vertical="center"/>
    </x:xf>
    <x:xf numFmtId="16" fontId="64" fillId="23" borderId="36" xfId="0" applyNumberFormat="1" applyFont="1" applyFill="1" applyBorder="1" applyAlignment="1">
      <x:alignment horizontal="center" vertical="center"/>
    </x:xf>
    <x:xf numFmtId="0" fontId="60" fillId="23" borderId="36" xfId="0" applyNumberFormat="1" applyFont="1" applyFill="1" applyBorder="1" applyAlignment="1">
      <x:alignment horizontal="center" vertical="center"/>
    </x:xf>
    <x:xf numFmtId="165" fontId="60" fillId="23" borderId="36" xfId="0" applyNumberFormat="1" applyFont="1" applyFill="1" applyBorder="1" applyAlignment="1">
      <x:alignment vertical="center"/>
    </x:xf>
    <x:xf numFmtId="164" fontId="64" fillId="23" borderId="30" xfId="0" applyNumberFormat="1" applyFont="1" applyFill="1" applyBorder="1" applyAlignment="1">
      <x:alignment vertical="center"/>
    </x:xf>
    <x:xf numFmtId="14" fontId="64" fillId="23" borderId="30" xfId="0" applyNumberFormat="1" applyFont="1" applyFill="1" applyBorder="1" applyAlignment="1">
      <x:alignment vertical="center"/>
    </x:xf>
    <x:xf numFmtId="165" fontId="60" fillId="23" borderId="30" xfId="0" applyNumberFormat="1" applyFont="1" applyFill="1" applyBorder="1" applyAlignment="1">
      <x:alignment vertical="center"/>
    </x:xf>
    <x:xf numFmtId="164" fontId="60" fillId="23" borderId="30" xfId="0" applyNumberFormat="1" applyFont="1" applyFill="1" applyBorder="1" applyAlignment="1">
      <x:alignment horizontal="right" vertical="center"/>
    </x:xf>
    <x:xf numFmtId="0" fontId="64" fillId="23" borderId="30" xfId="0" applyNumberFormat="1" applyFont="1" applyFill="1" applyBorder="1" applyAlignment="1">
      <x:alignment vertical="center" wrapText="1"/>
    </x:xf>
    <x:xf numFmtId="3" fontId="60" fillId="23" borderId="30" xfId="0" applyNumberFormat="1" applyFont="1" applyFill="1" applyBorder="1" applyAlignment="1">
      <x:alignment horizontal="center" vertical="center"/>
    </x:xf>
    <x:xf numFmtId="165" fontId="64" fillId="23" borderId="30" xfId="0" applyNumberFormat="1" applyFont="1" applyFill="1" applyBorder="1" applyAlignment="1">
      <x:alignment vertical="center"/>
    </x:xf>
    <x:xf numFmtId="3" fontId="68" fillId="23" borderId="30" xfId="0" applyNumberFormat="1" applyFont="1" applyFill="1" applyBorder="1" applyAlignment="1">
      <x:alignment horizontal="left" vertical="center"/>
    </x:xf>
    <x:xf numFmtId="0" fontId="60" fillId="23" borderId="30" xfId="0" applyNumberFormat="1" applyFont="1" applyFill="1" applyBorder="1" applyAlignment="1">
      <x:alignment horizontal="left" vertical="center"/>
    </x:xf>
    <x:xf numFmtId="3" fontId="69" fillId="23" borderId="30" xfId="0" applyNumberFormat="1" applyFont="1" applyFill="1" applyBorder="1" applyAlignment="1">
      <x:alignment horizontal="right" vertical="center"/>
    </x:xf>
    <x:xf numFmtId="16" fontId="61" fillId="23" borderId="36" xfId="0" applyNumberFormat="1" applyFont="1" applyFill="1" applyBorder="1" applyAlignment="1">
      <x:alignment horizontal="center" vertical="center"/>
    </x:xf>
    <x:xf numFmtId="0" fontId="61" fillId="23" borderId="36" xfId="0" applyNumberFormat="1" applyFont="1" applyFill="1" applyBorder="1" applyAlignment="1">
      <x:alignment horizontal="center" vertical="center"/>
    </x:xf>
    <x:xf numFmtId="165" fontId="61" fillId="23" borderId="36" xfId="0" applyNumberFormat="1" applyFont="1" applyFill="1" applyBorder="1" applyAlignment="1">
      <x:alignment vertical="center"/>
    </x:xf>
    <x:xf numFmtId="14" fontId="61" fillId="23" borderId="30" xfId="0" applyNumberFormat="1" applyFont="1" applyFill="1" applyBorder="1" applyAlignment="1">
      <x:alignment vertical="center"/>
    </x:xf>
    <x:xf numFmtId="165" fontId="61" fillId="23" borderId="30" xfId="0" applyNumberFormat="1" applyFont="1" applyFill="1" applyBorder="1" applyAlignment="1">
      <x:alignment vertical="center"/>
    </x:xf>
    <x:xf numFmtId="164" fontId="61" fillId="23" borderId="30" xfId="0" applyNumberFormat="1" applyFont="1" applyFill="1" applyBorder="1" applyAlignment="1">
      <x:alignment horizontal="right" vertical="center"/>
    </x:xf>
    <x:xf numFmtId="0" fontId="61" fillId="23" borderId="30" xfId="0" applyNumberFormat="1" applyFont="1" applyFill="1" applyBorder="1" applyAlignment="1">
      <x:alignment vertical="center" wrapText="1"/>
    </x:xf>
    <x:xf numFmtId="3" fontId="61" fillId="23" borderId="30" xfId="0" applyNumberFormat="1" applyFont="1" applyFill="1" applyBorder="1" applyAlignment="1">
      <x:alignment horizontal="center" vertical="center"/>
    </x:xf>
    <x:xf numFmtId="3" fontId="70" fillId="23" borderId="30" xfId="0" applyNumberFormat="1" applyFont="1" applyFill="1" applyBorder="1" applyAlignment="1">
      <x:alignment horizontal="left" vertical="center"/>
    </x:xf>
    <x:xf numFmtId="0" fontId="61" fillId="23" borderId="30" xfId="0" applyNumberFormat="1" applyFont="1" applyFill="1" applyBorder="1" applyAlignment="1">
      <x:alignment horizontal="left" vertical="center"/>
    </x:xf>
    <x:xf numFmtId="3" fontId="70" fillId="23" borderId="30" xfId="0" applyNumberFormat="1" applyFont="1" applyFill="1" applyBorder="1" applyAlignment="1">
      <x:alignment horizontal="right" vertical="center"/>
    </x:xf>
    <x:xf numFmtId="164" fontId="64" fillId="24" borderId="30" xfId="0" applyNumberFormat="1" applyFont="1" applyFill="1" applyBorder="1" applyAlignment="1">
      <x:alignment vertical="center"/>
    </x:xf>
    <x:xf numFmtId="0" fontId="69" fillId="24" borderId="30" xfId="0" applyNumberFormat="1" applyFont="1" applyFill="1" applyBorder="1" applyAlignment="1">
      <x:alignment horizontal="right" vertical="center"/>
    </x:xf>
    <x:xf numFmtId="0" fontId="64" fillId="24" borderId="43" xfId="0" applyNumberFormat="1" applyFont="1" applyFill="1" applyBorder="1" applyAlignment="1">
      <x:alignment horizontal="center" vertical="center"/>
    </x:xf>
    <x:xf numFmtId="0" fontId="64" fillId="24" borderId="30" xfId="0" applyNumberFormat="1" applyFont="1" applyFill="1" applyBorder="1" applyAlignment="1">
      <x:alignment horizontal="center" vertical="center"/>
    </x:xf>
    <x:xf numFmtId="0" fontId="60" fillId="24" borderId="30" xfId="0" applyNumberFormat="1" applyFont="1" applyFill="1" applyBorder="1" applyAlignment="1">
      <x:alignment horizontal="center" vertical="center"/>
    </x:xf>
    <x:xf numFmtId="0" fontId="71" fillId="24" borderId="30" xfId="0" applyNumberFormat="1" applyFont="1" applyFill="1" applyBorder="1" applyAlignment="1">
      <x:alignment horizontal="right" vertical="center"/>
    </x:xf>
    <x:xf numFmtId="0" fontId="62" fillId="24" borderId="43" xfId="0" applyNumberFormat="1" applyFont="1" applyFill="1" applyBorder="1" applyAlignment="1">
      <x:alignment horizontal="center" vertical="center"/>
    </x:xf>
    <x:xf numFmtId="0" fontId="62" fillId="24" borderId="30" xfId="0" applyNumberFormat="1" applyFont="1" applyFill="1" applyBorder="1" applyAlignment="1">
      <x:alignment horizontal="center" vertical="center"/>
    </x:xf>
    <x:xf numFmtId="0" fontId="71" fillId="24" borderId="35" xfId="0" applyNumberFormat="1" applyFont="1" applyFill="1" applyBorder="1" applyAlignment="1">
      <x:alignment horizontal="right" vertical="center"/>
    </x:xf>
    <x:xf numFmtId="0" fontId="71" fillId="24" borderId="35" xfId="0" applyNumberFormat="1" applyFont="1" applyFill="1" applyBorder="1" applyAlignment="1">
      <x:alignment horizontal="right" vertical="center" wrapText="1"/>
    </x:xf>
    <x:xf numFmtId="0" fontId="71" fillId="24" borderId="35" xfId="0" applyNumberFormat="1" applyFont="1" applyFill="1" applyBorder="1" applyAlignment="1">
      <x:alignment horizontal="center" vertical="center" wrapText="1"/>
    </x:xf>
    <x:xf numFmtId="0" fontId="69" fillId="25" borderId="30" xfId="0" applyNumberFormat="1" applyFont="1" applyFill="1" applyBorder="1" applyAlignment="1">
      <x:alignment horizontal="right" vertical="center"/>
    </x:xf>
    <x:xf numFmtId="0" fontId="64" fillId="25" borderId="43" xfId="0" applyNumberFormat="1" applyFont="1" applyFill="1" applyBorder="1" applyAlignment="1">
      <x:alignment horizontal="center" vertical="center"/>
    </x:xf>
    <x:xf numFmtId="38" fontId="60" fillId="25" borderId="30" xfId="0" applyNumberFormat="1" applyFont="1" applyFill="1" applyBorder="1" applyAlignment="1">
      <x:alignment vertical="center"/>
    </x:xf>
    <x:xf numFmtId="0" fontId="69" fillId="25" borderId="30" xfId="0" applyNumberFormat="1" applyFont="1" applyFill="1" applyBorder="1" applyAlignment="1">
      <x:alignment horizontal="center" vertical="center"/>
    </x:xf>
    <x:xf numFmtId="0" fontId="64" fillId="25" borderId="43" xfId="0" applyNumberFormat="1" applyFont="1" applyFill="1" applyBorder="1" applyAlignment="1">
      <x:alignment vertical="center"/>
    </x:xf>
    <x:xf numFmtId="0" fontId="64" fillId="25" borderId="38" xfId="0" applyNumberFormat="1" applyFont="1" applyFill="1" applyBorder="1" applyAlignment="1">
      <x:alignment vertical="center"/>
    </x:xf>
    <x:xf numFmtId="37" fontId="64" fillId="25" borderId="30" xfId="0" applyNumberFormat="1" applyFont="1" applyFill="1" applyBorder="1" applyAlignment="1">
      <x:alignment horizontal="center" vertical="center"/>
    </x:xf>
    <x:xf numFmtId="37" fontId="64" fillId="25" borderId="38" xfId="0" applyNumberFormat="1" applyFont="1" applyFill="1" applyBorder="1" applyAlignment="1">
      <x:alignment horizontal="center" vertical="center"/>
    </x:xf>
    <x:xf numFmtId="0" fontId="60" fillId="25" borderId="30" xfId="0" applyNumberFormat="1" applyFont="1" applyFill="1" applyBorder="1" applyAlignment="1">
      <x:alignment horizontal="left" vertical="center"/>
    </x:xf>
    <x:xf numFmtId="3" fontId="60" fillId="25" borderId="30" xfId="0" applyNumberFormat="1" applyFont="1" applyFill="1" applyBorder="1" applyAlignment="1">
      <x:alignment vertical="center"/>
    </x:xf>
    <x:xf numFmtId="3" fontId="60" fillId="25" borderId="30" xfId="0" applyNumberFormat="1" applyFont="1" applyFill="1" applyBorder="1" applyAlignment="1">
      <x:alignment horizontal="center" vertical="center"/>
    </x:xf>
    <x:xf numFmtId="0" fontId="60" fillId="25" borderId="43" xfId="0" applyNumberFormat="1" applyFont="1" applyFill="1" applyBorder="1" applyAlignment="1">
      <x:alignment horizontal="left" vertical="center"/>
    </x:xf>
    <x:xf numFmtId="0" fontId="60" fillId="25" borderId="38" xfId="0" applyNumberFormat="1" applyFont="1" applyFill="1" applyBorder="1" applyAlignment="1">
      <x:alignment horizontal="center" vertical="center"/>
    </x:xf>
    <x:xf numFmtId="38" fontId="64" fillId="25" borderId="30" xfId="0" applyNumberFormat="1" applyFont="1" applyFill="1" applyBorder="1" applyAlignment="1">
      <x:alignment vertical="center"/>
    </x:xf>
    <x:xf numFmtId="164" fontId="60" fillId="25" borderId="30" xfId="0" applyNumberFormat="1" applyFont="1" applyFill="1" applyBorder="1" applyAlignment="1">
      <x:alignment horizontal="center" vertical="center"/>
    </x:xf>
    <x:xf numFmtId="3" fontId="69" fillId="25" borderId="30" xfId="0" applyNumberFormat="1" applyFont="1" applyFill="1" applyBorder="1" applyAlignment="1">
      <x:alignment horizontal="right" vertical="center"/>
    </x:xf>
    <x:xf numFmtId="0" fontId="60" fillId="25" borderId="30" xfId="0" applyNumberFormat="1" applyFont="1" applyFill="1" applyBorder="1" applyAlignment="1">
      <x:alignment horizontal="right" vertical="center"/>
    </x:xf>
    <x:xf numFmtId="0" fontId="64" fillId="25" borderId="44" xfId="0" applyNumberFormat="1" applyFont="1" applyFill="1" applyBorder="1" applyAlignment="1">
      <x:alignment horizontal="left" vertical="center"/>
    </x:xf>
    <x:xf numFmtId="164" fontId="64" fillId="25" borderId="43" xfId="0" applyNumberFormat="1" applyFont="1" applyFill="1" applyBorder="1" applyAlignment="1">
      <x:alignment horizontal="center" vertical="center"/>
    </x:xf>
    <x:xf numFmtId="164" fontId="64" fillId="25" borderId="38" xfId="0" applyNumberFormat="1" applyFont="1" applyFill="1" applyBorder="1" applyAlignment="1">
      <x:alignment horizontal="center" vertical="center"/>
    </x:xf>
    <x:xf numFmtId="0" fontId="64" fillId="25" borderId="44" xfId="0" applyNumberFormat="1" applyFont="1" applyFill="1" applyBorder="1" applyAlignment="1">
      <x:alignment vertical="center"/>
    </x:xf>
    <x:xf numFmtId="164" fontId="60" fillId="25" borderId="43" xfId="0" applyNumberFormat="1" applyFont="1" applyFill="1" applyBorder="1" applyAlignment="1">
      <x:alignment horizontal="center" vertical="center"/>
    </x:xf>
    <x:xf numFmtId="165" fontId="60" fillId="25" borderId="43" xfId="0" applyNumberFormat="1" applyFont="1" applyFill="1" applyBorder="1" applyAlignment="1">
      <x:alignment horizontal="center" vertical="center"/>
    </x:xf>
    <x:xf numFmtId="165" fontId="60" fillId="25" borderId="44" xfId="0" applyNumberFormat="1" applyFont="1" applyFill="1" applyBorder="1" applyAlignment="1">
      <x:alignment horizontal="center" vertical="center"/>
    </x:xf>
    <x:xf numFmtId="164" fontId="60" fillId="25" borderId="44" xfId="0" applyNumberFormat="1" applyFont="1" applyFill="1" applyBorder="1" applyAlignment="1">
      <x:alignment horizontal="center" vertical="center"/>
    </x:xf>
    <x:xf numFmtId="0" fontId="60" fillId="25" borderId="44" xfId="0" applyNumberFormat="1" applyFont="1" applyFill="1" applyBorder="1" applyAlignment="1">
      <x:alignment vertical="center"/>
    </x:xf>
    <x:xf numFmtId="164" fontId="64" fillId="25" borderId="44" xfId="0" applyNumberFormat="1" applyFont="1" applyFill="1" applyBorder="1" applyAlignment="1">
      <x:alignment horizontal="center" vertical="center"/>
    </x:xf>
    <x:xf numFmtId="165" fontId="64" fillId="25" borderId="43" xfId="0" applyNumberFormat="1" applyFont="1" applyFill="1" applyBorder="1" applyAlignment="1">
      <x:alignment horizontal="center" vertical="center"/>
    </x:xf>
    <x:xf numFmtId="165" fontId="64" fillId="25" borderId="44" xfId="0" applyNumberFormat="1" applyFont="1" applyFill="1" applyBorder="1" applyAlignment="1">
      <x:alignment horizontal="center" vertical="center"/>
    </x:xf>
    <x:xf numFmtId="0" fontId="64" fillId="25" borderId="37" xfId="0" applyNumberFormat="1" applyFont="1" applyFill="1" applyBorder="1" applyAlignment="1">
      <x:alignment vertical="center"/>
    </x:xf>
    <x:xf numFmtId="14" fontId="64" fillId="5" borderId="0" xfId="0" applyNumberFormat="1" applyFont="1" applyFill="1" applyBorder="1" applyAlignment="1">
      <x:alignment horizontal="center" vertical="center" wrapText="1"/>
    </x:xf>
    <x:xf numFmtId="14" fontId="64" fillId="5" borderId="12" xfId="0" applyNumberFormat="1" applyFont="1" applyFill="1" applyBorder="1" applyAlignment="1">
      <x:alignment horizontal="center" vertical="center"/>
    </x:xf>
    <x:xf numFmtId="14" fontId="64" fillId="5" borderId="10" xfId="0" applyNumberFormat="1" applyFont="1" applyFill="1" applyBorder="1" applyAlignment="1">
      <x:alignment horizontal="center" vertical="center"/>
    </x:xf>
    <x:xf numFmtId="0" fontId="64" fillId="5" borderId="2" xfId="0" applyNumberFormat="1" applyFont="1" applyFill="1" applyBorder="1" applyAlignment="1">
      <x:alignment horizontal="center" vertical="center"/>
    </x:xf>
    <x:xf numFmtId="0" fontId="64" fillId="5" borderId="24" xfId="0" applyNumberFormat="1" applyFont="1" applyFill="1" applyBorder="1" applyAlignment="1">
      <x:alignment horizontal="center" vertical="center"/>
    </x:xf>
    <x:xf numFmtId="165" fontId="64" fillId="5" borderId="22" xfId="0" applyNumberFormat="1" applyFont="1" applyFill="1" applyBorder="1" applyAlignment="1">
      <x:alignment horizontal="center" vertical="center"/>
    </x:xf>
    <x:xf numFmtId="165" fontId="64" fillId="5" borderId="23" xfId="0" applyNumberFormat="1" applyFont="1" applyFill="1" applyBorder="1" applyAlignment="1">
      <x:alignment horizontal="center" vertical="center"/>
    </x:xf>
    <x:xf numFmtId="165" fontId="64" fillId="5" borderId="3" xfId="0" applyNumberFormat="1" applyFont="1" applyFill="1" applyBorder="1" applyAlignment="1">
      <x:alignment horizontal="center" vertical="center"/>
    </x:xf>
    <x:xf numFmtId="0" fontId="64" fillId="5" borderId="8" xfId="0" applyNumberFormat="1" applyFont="1" applyFill="1" applyBorder="1" applyAlignment="1">
      <x:alignment horizontal="center" vertical="center"/>
    </x:xf>
    <x:xf numFmtId="0" fontId="64" fillId="5" borderId="19" xfId="0" applyNumberFormat="1" applyFont="1" applyFill="1" applyBorder="1" applyAlignment="1">
      <x:alignment horizontal="center" vertical="center"/>
    </x:xf>
    <x:xf numFmtId="165" fontId="60" fillId="5" borderId="17" xfId="0" applyNumberFormat="1" applyFont="1" applyFill="1" applyBorder="1" applyAlignment="1">
      <x:alignment horizontal="center"/>
    </x:xf>
    <x:xf numFmtId="165" fontId="60" fillId="5" borderId="18" xfId="0" applyNumberFormat="1" applyFont="1" applyFill="1" applyBorder="1" applyAlignment="1">
      <x:alignment horizontal="center"/>
    </x:xf>
    <x:xf numFmtId="0" fontId="64" fillId="2" borderId="6" xfId="0" applyNumberFormat="1" applyFont="1" applyFill="1" applyBorder="1" applyAlignment="1">
      <x:alignment horizontal="center"/>
    </x:xf>
    <x:xf numFmtId="0" fontId="64" fillId="2" borderId="7" xfId="0" applyNumberFormat="1" applyFont="1" applyFill="1" applyBorder="1" applyAlignment="1">
      <x:alignment horizontal="left"/>
    </x:xf>
    <x:xf numFmtId="165" fontId="60" fillId="2" borderId="2" xfId="0" applyNumberFormat="1" applyFont="1" applyFill="1" applyBorder="1" applyAlignment="1">
      <x:alignment horizontal="center"/>
    </x:xf>
    <x:xf numFmtId="165" fontId="60" fillId="2" borderId="4" xfId="0" applyNumberFormat="1" applyFont="1" applyFill="1" applyBorder="1" applyAlignment="1">
      <x:alignment horizontal="center"/>
    </x:xf>
    <x:xf numFmtId="165" fontId="60" fillId="2" borderId="3" xfId="0" applyNumberFormat="1" applyFont="1" applyFill="1" applyBorder="1" applyAlignment="1">
      <x:alignment horizontal="center"/>
    </x:xf>
    <x:xf numFmtId="0" fontId="60" fillId="0" borderId="0" xfId="0" applyNumberFormat="1" applyFont="1" applyFill="1" applyBorder="1" applyAlignment="1">
      <x:alignment horizontal="left" vertical="top"/>
    </x:xf>
    <x:xf numFmtId="0" fontId="64" fillId="0" borderId="0" xfId="0" applyNumberFormat="1" applyFont="1" applyFill="1" applyBorder="1"/>
    <x:xf numFmtId="165" fontId="60" fillId="2" borderId="6" xfId="0" applyNumberFormat="1" applyFont="1" applyFill="1" applyBorder="1" applyAlignment="1">
      <x:alignment horizontal="center"/>
    </x:xf>
    <x:xf numFmtId="165" fontId="60" fillId="2" borderId="0" xfId="0" applyNumberFormat="1" applyFont="1" applyFill="1" applyBorder="1" applyAlignment="1">
      <x:alignment horizontal="center"/>
    </x:xf>
    <x:xf numFmtId="165" fontId="60" fillId="2" borderId="7" xfId="0" applyNumberFormat="1" applyFont="1" applyFill="1" applyBorder="1" applyAlignment="1">
      <x:alignment horizontal="center"/>
    </x:xf>
    <x:xf numFmtId="3" fontId="64" fillId="0" borderId="0" xfId="0" applyNumberFormat="1" applyFont="1" applyFill="1" applyBorder="1"/>
    <x:xf numFmtId="0" fontId="64" fillId="2" borderId="8" xfId="0" applyNumberFormat="1" applyFont="1" applyFill="1" applyBorder="1" applyAlignment="1">
      <x:alignment horizontal="center"/>
    </x:xf>
    <x:xf numFmtId="0" fontId="64" fillId="2" borderId="9" xfId="0" applyNumberFormat="1" applyFont="1" applyFill="1" applyBorder="1" applyAlignment="1">
      <x:alignment horizontal="left"/>
    </x:xf>
    <x:xf numFmtId="165" fontId="60" fillId="2" borderId="8" xfId="0" applyNumberFormat="1" applyFont="1" applyFill="1" applyBorder="1" applyAlignment="1">
      <x:alignment horizontal="center"/>
    </x:xf>
    <x:xf numFmtId="165" fontId="60" fillId="2" borderId="1" xfId="0" applyNumberFormat="1" applyFont="1" applyFill="1" applyBorder="1" applyAlignment="1">
      <x:alignment horizontal="center"/>
    </x:xf>
    <x:xf numFmtId="165" fontId="60" fillId="2" borderId="9" xfId="0" applyNumberFormat="1" applyFont="1" applyFill="1" applyBorder="1" applyAlignment="1">
      <x:alignment horizontal="center"/>
    </x:xf>
    <x:xf numFmtId="165" fontId="60" fillId="5" borderId="17" xfId="0" applyNumberFormat="1" applyFont="1" applyFill="1" applyBorder="1" applyAlignment="1">
      <x:alignment horizontal="center" vertical="center"/>
    </x:xf>
    <x:xf numFmtId="165" fontId="60" fillId="5" borderId="18" xfId="0" applyNumberFormat="1" applyFont="1" applyFill="1" applyBorder="1" applyAlignment="1">
      <x:alignment horizontal="center" vertical="center"/>
    </x:xf>
    <x:xf numFmtId="0" fontId="64" fillId="2" borderId="6" xfId="0" applyNumberFormat="1" applyFont="1" applyFill="1" applyBorder="1" applyAlignment="1">
      <x:alignment horizontal="center" vertical="center"/>
    </x:xf>
    <x:xf numFmtId="0" fontId="64" fillId="2" borderId="7" xfId="0" applyNumberFormat="1" applyFont="1" applyFill="1" applyBorder="1" applyAlignment="1">
      <x:alignment horizontal="left" vertical="center"/>
    </x:xf>
    <x:xf numFmtId="165" fontId="60" fillId="2" borderId="2" xfId="0" applyNumberFormat="1" applyFont="1" applyFill="1" applyBorder="1" applyAlignment="1">
      <x:alignment horizontal="center" vertical="center"/>
    </x:xf>
    <x:xf numFmtId="165" fontId="60" fillId="2" borderId="4" xfId="0" applyNumberFormat="1" applyFont="1" applyFill="1" applyBorder="1" applyAlignment="1">
      <x:alignment horizontal="center" vertical="center"/>
    </x:xf>
    <x:xf numFmtId="165" fontId="60" fillId="2" borderId="3" xfId="0" applyNumberFormat="1" applyFont="1" applyFill="1" applyBorder="1" applyAlignment="1">
      <x:alignment horizontal="center" vertical="center"/>
    </x:xf>
    <x:xf numFmtId="0" fontId="64" fillId="0" borderId="0" xfId="0" applyNumberFormat="1" applyFont="1" applyFill="1" applyBorder="1" applyAlignment="1">
      <x:alignment vertical="center"/>
    </x:xf>
    <x:xf numFmtId="165" fontId="60" fillId="2" borderId="6" xfId="0" applyNumberFormat="1" applyFont="1" applyFill="1" applyBorder="1" applyAlignment="1">
      <x:alignment horizontal="center" vertical="center"/>
    </x:xf>
    <x:xf numFmtId="165" fontId="60" fillId="2" borderId="0" xfId="0" applyNumberFormat="1" applyFont="1" applyFill="1" applyBorder="1" applyAlignment="1">
      <x:alignment horizontal="center" vertical="center"/>
    </x:xf>
    <x:xf numFmtId="165" fontId="60" fillId="2" borderId="7" xfId="0" applyNumberFormat="1" applyFont="1" applyFill="1" applyBorder="1" applyAlignment="1">
      <x:alignment horizontal="center" vertical="center"/>
    </x:xf>
    <x:xf numFmtId="3" fontId="64" fillId="0" borderId="0" xfId="0" applyNumberFormat="1" applyFont="1" applyFill="1" applyBorder="1" applyAlignment="1">
      <x:alignment vertical="center"/>
    </x:xf>
    <x:xf numFmtId="0" fontId="64" fillId="2" borderId="8" xfId="0" applyNumberFormat="1" applyFont="1" applyFill="1" applyBorder="1" applyAlignment="1">
      <x:alignment horizontal="center" vertical="center"/>
    </x:xf>
    <x:xf numFmtId="0" fontId="64" fillId="2" borderId="9" xfId="0" applyNumberFormat="1" applyFont="1" applyFill="1" applyBorder="1" applyAlignment="1">
      <x:alignment horizontal="left" vertical="center"/>
    </x:xf>
    <x:xf numFmtId="165" fontId="60" fillId="2" borderId="8" xfId="0" applyNumberFormat="1" applyFont="1" applyFill="1" applyBorder="1" applyAlignment="1">
      <x:alignment horizontal="center" vertical="center"/>
    </x:xf>
    <x:xf numFmtId="165" fontId="60" fillId="2" borderId="1" xfId="0" applyNumberFormat="1" applyFont="1" applyFill="1" applyBorder="1" applyAlignment="1">
      <x:alignment horizontal="center" vertical="center"/>
    </x:xf>
    <x:xf numFmtId="165" fontId="60" fillId="2" borderId="9" xfId="0" applyNumberFormat="1" applyFont="1" applyFill="1" applyBorder="1" applyAlignment="1">
      <x:alignment horizontal="center" vertical="center"/>
    </x:xf>
    <x:xf numFmtId="14" fontId="64" fillId="5" borderId="36" xfId="0" applyNumberFormat="1" applyFont="1" applyFill="1" applyBorder="1" applyAlignment="1">
      <x:alignment horizontal="center" vertical="center" wrapText="1"/>
    </x:xf>
    <x:xf numFmtId="14" fontId="64" fillId="5" borderId="36" xfId="0" applyNumberFormat="1" applyFont="1" applyFill="1" applyBorder="1" applyAlignment="1">
      <x:alignment horizontal="center" vertical="center"/>
    </x:xf>
    <x:xf numFmtId="14" fontId="64" fillId="5" borderId="45" xfId="0" applyNumberFormat="1" applyFont="1" applyFill="1" applyBorder="1" applyAlignment="1">
      <x:alignment horizontal="center" vertical="center"/>
    </x:xf>
    <x:xf numFmtId="0" fontId="64" fillId="5" borderId="30" xfId="0" applyNumberFormat="1" applyFont="1" applyFill="1" applyBorder="1" applyAlignment="1">
      <x:alignment horizontal="center" vertical="center"/>
    </x:xf>
    <x:xf numFmtId="0" fontId="64" fillId="5" borderId="42" xfId="0" applyNumberFormat="1" applyFont="1" applyFill="1" applyBorder="1" applyAlignment="1">
      <x:alignment horizontal="center" vertical="center"/>
    </x:xf>
    <x:xf numFmtId="165" fontId="64" fillId="5" borderId="40" xfId="0" applyNumberFormat="1" applyFont="1" applyFill="1" applyBorder="1" applyAlignment="1">
      <x:alignment horizontal="center" vertical="center"/>
    </x:xf>
    <x:xf numFmtId="165" fontId="64" fillId="5" borderId="41" xfId="0" applyNumberFormat="1" applyFont="1" applyFill="1" applyBorder="1" applyAlignment="1">
      <x:alignment horizontal="center" vertical="center"/>
    </x:xf>
    <x:xf numFmtId="165" fontId="64" fillId="5" borderId="38" xfId="0" applyNumberFormat="1" applyFont="1" applyFill="1" applyBorder="1" applyAlignment="1">
      <x:alignment horizontal="center" vertical="center"/>
    </x:xf>
    <x:xf numFmtId="165" fontId="60" fillId="5" borderId="40" xfId="0" applyNumberFormat="1" applyFont="1" applyFill="1" applyBorder="1" applyAlignment="1">
      <x:alignment horizontal="center" vertical="center"/>
    </x:xf>
    <x:xf numFmtId="165" fontId="60" fillId="5" borderId="41" xfId="0" applyNumberFormat="1" applyFont="1" applyFill="1" applyBorder="1" applyAlignment="1">
      <x:alignment horizontal="center" vertical="center"/>
    </x:xf>
    <x:xf numFmtId="0" fontId="64" fillId="2" borderId="30" xfId="0" applyNumberFormat="1" applyFont="1" applyFill="1" applyBorder="1" applyAlignment="1">
      <x:alignment horizontal="center" vertical="center"/>
    </x:xf>
    <x:xf numFmtId="0" fontId="64" fillId="2" borderId="38" xfId="0" applyNumberFormat="1" applyFont="1" applyFill="1" applyBorder="1" applyAlignment="1">
      <x:alignment horizontal="left" vertical="center"/>
    </x:xf>
    <x:xf numFmtId="165" fontId="60" fillId="2" borderId="43" xfId="0" applyNumberFormat="1" applyFont="1" applyFill="1" applyBorder="1" applyAlignment="1">
      <x:alignment horizontal="center" vertical="center"/>
    </x:xf>
    <x:xf numFmtId="165" fontId="60" fillId="2" borderId="30" xfId="0" applyNumberFormat="1" applyFont="1" applyFill="1" applyBorder="1" applyAlignment="1">
      <x:alignment horizontal="center" vertical="center"/>
    </x:xf>
    <x:xf numFmtId="165" fontId="60" fillId="2" borderId="38" xfId="0" applyNumberFormat="1" applyFont="1" applyFill="1" applyBorder="1" applyAlignment="1">
      <x:alignment horizontal="center" vertical="center"/>
    </x:xf>
    <x:xf numFmtId="3" fontId="64" fillId="0" borderId="30" xfId="0" applyNumberFormat="1" applyFont="1" applyFill="1" applyBorder="1" applyAlignment="1">
      <x:alignment vertical="center"/>
    </x:xf>
    <x:xf numFmtId="14" fontId="64" fillId="23" borderId="36" xfId="0" applyNumberFormat="1" applyFont="1" applyFill="1" applyBorder="1" applyAlignment="1">
      <x:alignment horizontal="center" vertical="center" wrapText="1"/>
    </x:xf>
    <x:xf numFmtId="14" fontId="64" fillId="23" borderId="36" xfId="0" applyNumberFormat="1" applyFont="1" applyFill="1" applyBorder="1" applyAlignment="1">
      <x:alignment horizontal="center" vertical="center"/>
    </x:xf>
    <x:xf numFmtId="14" fontId="64" fillId="23" borderId="45" xfId="0" applyNumberFormat="1" applyFont="1" applyFill="1" applyBorder="1" applyAlignment="1">
      <x:alignment horizontal="center" vertical="center"/>
    </x:xf>
    <x:xf numFmtId="14" fontId="61" fillId="23" borderId="36" xfId="0" applyNumberFormat="1" applyFont="1" applyFill="1" applyBorder="1" applyAlignment="1">
      <x:alignment horizontal="center" vertical="center" wrapText="1"/>
    </x:xf>
    <x:xf numFmtId="14" fontId="61" fillId="23" borderId="36" xfId="0" applyNumberFormat="1" applyFont="1" applyFill="1" applyBorder="1" applyAlignment="1">
      <x:alignment horizontal="center" vertical="center"/>
    </x:xf>
    <x:xf numFmtId="14" fontId="61" fillId="23" borderId="45" xfId="0" applyNumberFormat="1" applyFont="1" applyFill="1" applyBorder="1" applyAlignment="1">
      <x:alignment horizontal="center" vertical="center"/>
    </x:xf>
    <x:xf numFmtId="0" fontId="64" fillId="24" borderId="42" xfId="0" applyNumberFormat="1" applyFont="1" applyFill="1" applyBorder="1" applyAlignment="1">
      <x:alignment horizontal="center" vertical="center"/>
    </x:xf>
    <x:xf numFmtId="0" fontId="62" fillId="24" borderId="42" xfId="0" applyNumberFormat="1" applyFont="1" applyFill="1" applyBorder="1" applyAlignment="1">
      <x:alignment horizontal="center" vertical="center"/>
    </x:xf>
    <x:xf numFmtId="0" fontId="64" fillId="25" borderId="42" xfId="0" applyNumberFormat="1" applyFont="1" applyFill="1" applyBorder="1" applyAlignment="1">
      <x:alignment horizontal="center" vertical="center"/>
    </x:xf>
    <x:xf numFmtId="0" fontId="64" fillId="25" borderId="38" xfId="0" applyNumberFormat="1" applyFont="1" applyFill="1" applyBorder="1" applyAlignment="1">
      <x:alignment horizontal="left" vertical="center"/>
    </x:xf>
    <x:xf numFmtId="3" fontId="64" fillId="25" borderId="30" xfId="0" applyNumberFormat="1" applyFont="1" applyFill="1" applyBorder="1" applyAlignment="1">
      <x:alignment vertical="center"/>
    </x:xf>
    <x:xf numFmtId="14" fontId="63" fillId="23" borderId="36" xfId="0" applyNumberFormat="1" applyFont="1" applyFill="1" applyBorder="1" applyAlignment="1">
      <x:alignment horizontal="center" vertical="center" wrapText="1"/>
    </x:xf>
    <x:xf numFmtId="165" fontId="64" fillId="2" borderId="30" xfId="0" applyNumberFormat="1" applyFont="1" applyFill="1" applyBorder="1" applyAlignment="1">
      <x:alignment horizontal="center" vertical="center"/>
    </x:xf>
    <x:xf numFmtId="0" fontId="64" fillId="0" borderId="37" xfId="0" applyNumberFormat="1" applyFont="1" applyFill="1" applyBorder="1" applyAlignment="1">
      <x:alignment vertical="center"/>
    </x:xf>
    <x:xf numFmtId="2" fontId="60" fillId="2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left" vertical="center"/>
    </x:xf>
    <x:xf numFmtId="0" fontId="64" fillId="2" borderId="0" xfId="0" applyNumberFormat="1" applyFont="1" applyFill="1" applyBorder="1" applyAlignment="1">
      <x:alignment vertical="center"/>
    </x:xf>
    <x:xf numFmtId="2" fontId="60" fillId="2" borderId="0" xfId="0" applyNumberFormat="1" applyFont="1" applyFill="1" applyBorder="1" applyAlignment="1">
      <x:alignment horizontal="center" vertical="center"/>
    </x:xf>
    <x:xf numFmtId="164" fontId="64" fillId="2" borderId="0" xfId="0" applyNumberFormat="1" applyFont="1" applyFill="1" applyBorder="1" applyAlignment="1">
      <x:alignment vertical="center"/>
    </x:xf>
    <x:xf numFmtId="2" fontId="64" fillId="5" borderId="2" xfId="0" applyNumberFormat="1" applyFont="1" applyFill="1" applyBorder="1" applyAlignment="1">
      <x:alignment horizontal="center" vertical="center"/>
    </x:xf>
    <x:xf numFmtId="2" fontId="64" fillId="5" borderId="3" xfId="0" applyNumberFormat="1" applyFont="1" applyFill="1" applyBorder="1" applyAlignment="1">
      <x:alignment horizontal="center" vertical="center"/>
    </x:xf>
    <x:xf numFmtId="2" fontId="64" fillId="5" borderId="4" xfId="0" applyNumberFormat="1" applyFont="1" applyFill="1" applyBorder="1" applyAlignment="1">
      <x:alignment horizontal="center" vertical="center"/>
    </x:xf>
    <x:xf numFmtId="2" fontId="60" fillId="5" borderId="0" xfId="0" applyNumberFormat="1" applyFont="1" applyFill="1" applyBorder="1" applyAlignment="1">
      <x:alignment horizontal="center" vertical="center"/>
    </x:xf>
    <x:xf numFmtId="2" fontId="64" fillId="5" borderId="6" xfId="0" applyNumberFormat="1" applyFont="1" applyFill="1" applyBorder="1" applyAlignment="1">
      <x:alignment horizontal="center" vertical="center"/>
    </x:xf>
    <x:xf numFmtId="2" fontId="64" fillId="5" borderId="7" xfId="0" applyNumberFormat="1" applyFont="1" applyFill="1" applyBorder="1" applyAlignment="1">
      <x:alignment horizontal="center" vertical="center"/>
    </x:xf>
    <x:xf numFmtId="2" fontId="64" fillId="5" borderId="0" xfId="0" applyNumberFormat="1" applyFont="1" applyFill="1" applyBorder="1" applyAlignment="1">
      <x:alignment horizontal="center" vertical="center"/>
    </x:xf>
    <x:xf numFmtId="0" fontId="64" fillId="2" borderId="0" xfId="0" applyNumberFormat="1" applyFont="1" applyFill="1" applyBorder="1" applyAlignment="1">
      <x:alignment horizontal="center" vertical="center"/>
    </x:xf>
    <x:xf numFmtId="37" fontId="64" fillId="5" borderId="8" xfId="0" applyNumberFormat="1" applyFont="1" applyFill="1" applyBorder="1" applyAlignment="1">
      <x:alignment horizontal="center" vertical="center"/>
    </x:xf>
    <x:xf numFmtId="37" fontId="64" fillId="5" borderId="1" xfId="0" applyNumberFormat="1" applyFont="1" applyFill="1" applyBorder="1" applyAlignment="1">
      <x:alignment horizontal="center" vertical="center"/>
    </x:xf>
    <x:xf numFmtId="37" fontId="64" fillId="5" borderId="9" xfId="0" applyNumberFormat="1" applyFont="1" applyFill="1" applyBorder="1" applyAlignment="1">
      <x:alignment horizontal="center" vertical="center"/>
    </x:xf>
    <x:xf numFmtId="1" fontId="60" fillId="2" borderId="0" xfId="0" applyNumberFormat="1" applyFont="1" applyFill="1" applyBorder="1" applyAlignment="1">
      <x:alignment vertical="center"/>
    </x:xf>
    <x:xf numFmtId="1" fontId="60" fillId="0" borderId="0" xfId="0" applyNumberFormat="1" applyFont="1" applyFill="1" applyBorder="1"/>
    <x:xf numFmtId="1" fontId="64" fillId="0" borderId="2" xfId="0" applyNumberFormat="1" applyFont="1" applyFill="1" applyBorder="1" applyAlignment="1">
      <x:alignment horizontal="left" vertical="center"/>
    </x:xf>
    <x:xf numFmtId="2" fontId="64" fillId="0" borderId="3" xfId="0" applyNumberFormat="1" applyFont="1" applyFill="1" applyBorder="1" applyAlignment="1">
      <x:alignment vertical="center"/>
    </x:xf>
    <x:xf numFmtId="38" fontId="64" fillId="0" borderId="4" xfId="0" applyNumberFormat="1" applyFont="1" applyFill="1" applyBorder="1" applyAlignment="1">
      <x:alignment horizontal="center" vertical="center"/>
    </x:xf>
    <x:xf numFmtId="38" fontId="64" fillId="0" borderId="3" xfId="0" applyNumberFormat="1" applyFont="1" applyFill="1" applyBorder="1" applyAlignment="1">
      <x:alignment horizontal="center" vertical="center"/>
    </x:xf>
    <x:xf numFmtId="38" fontId="60" fillId="0" borderId="0" xfId="0" applyNumberFormat="1" applyFont="1" applyFill="1" applyBorder="1" applyAlignment="1">
      <x:alignment horizontal="right" vertical="center"/>
    </x:xf>
    <x:xf numFmtId="164" fontId="60" fillId="2" borderId="2" xfId="0" applyNumberFormat="1" applyFont="1" applyFill="1" applyBorder="1"/>
    <x:xf numFmtId="164" fontId="60" fillId="2" borderId="4" xfId="0" applyNumberFormat="1" applyFont="1" applyFill="1" applyBorder="1" applyAlignment="1">
      <x:alignment horizontal="center" vertical="center"/>
    </x:xf>
    <x:xf numFmtId="164" fontId="60" fillId="0" borderId="4" xfId="0" applyNumberFormat="1" applyFont="1" applyFill="1" applyBorder="1"/>
    <x:xf numFmtId="164" fontId="60" fillId="0" borderId="3" xfId="0" applyNumberFormat="1" applyFont="1" applyFill="1" applyBorder="1"/>
    <x:xf numFmtId="1" fontId="64" fillId="0" borderId="6" xfId="0" applyNumberFormat="1" applyFont="1" applyFill="1" applyBorder="1" applyAlignment="1">
      <x:alignment horizontal="left" vertical="center"/>
    </x:xf>
    <x:xf numFmtId="2" fontId="64" fillId="0" borderId="7" xfId="0" applyNumberFormat="1" applyFont="1" applyFill="1" applyBorder="1" applyAlignment="1">
      <x:alignment vertical="center"/>
    </x:xf>
    <x:xf numFmtId="38" fontId="64" fillId="0" borderId="0" xfId="0" applyNumberFormat="1" applyFont="1" applyFill="1" applyBorder="1" applyAlignment="1">
      <x:alignment horizontal="center" vertical="center"/>
    </x:xf>
    <x:xf numFmtId="38" fontId="64" fillId="0" borderId="7" xfId="0" applyNumberFormat="1" applyFont="1" applyFill="1" applyBorder="1" applyAlignment="1">
      <x:alignment horizontal="center" vertical="center"/>
    </x:xf>
    <x:xf numFmtId="164" fontId="60" fillId="2" borderId="6" xfId="0" applyNumberFormat="1" applyFont="1" applyFill="1" applyBorder="1"/>
    <x:xf numFmtId="164" fontId="60" fillId="0" borderId="7" xfId="0" applyNumberFormat="1" applyFont="1" applyFill="1" applyBorder="1"/>
    <x:xf numFmtId="1" fontId="60" fillId="0" borderId="0" xfId="0" applyNumberFormat="1" applyFont="1" applyFill="1" applyBorder="1" applyAlignment="1">
      <x:alignment vertical="center"/>
    </x:xf>
    <x:xf numFmtId="2" fontId="64" fillId="0" borderId="8" xfId="0" applyNumberFormat="1" applyFont="1" applyFill="1" applyBorder="1"/>
    <x:xf numFmtId="2" fontId="64" fillId="0" borderId="9" xfId="0" applyNumberFormat="1" applyFont="1" applyFill="1" applyBorder="1" applyAlignment="1">
      <x:alignment vertical="center"/>
    </x:xf>
    <x:xf numFmtId="38" fontId="64" fillId="0" borderId="1" xfId="0" applyNumberFormat="1" applyFont="1" applyFill="1" applyBorder="1" applyAlignment="1">
      <x:alignment horizontal="center" vertical="center"/>
    </x:xf>
    <x:xf numFmtId="38" fontId="64" fillId="0" borderId="9" xfId="0" applyNumberFormat="1" applyFont="1" applyFill="1" applyBorder="1" applyAlignment="1">
      <x:alignment horizontal="center" vertical="center"/>
    </x:xf>
    <x:xf numFmtId="164" fontId="60" fillId="2" borderId="8" xfId="0" applyNumberFormat="1" applyFont="1" applyFill="1" applyBorder="1"/>
    <x:xf numFmtId="164" fontId="60" fillId="2" borderId="1" xfId="0" applyNumberFormat="1" applyFont="1" applyFill="1" applyBorder="1" applyAlignment="1">
      <x:alignment horizontal="center" vertical="center"/>
    </x:xf>
    <x:xf numFmtId="164" fontId="60" fillId="0" borderId="1" xfId="0" applyNumberFormat="1" applyFont="1" applyFill="1" applyBorder="1"/>
    <x:xf numFmtId="164" fontId="60" fillId="0" borderId="9" xfId="0" applyNumberFormat="1" applyFont="1" applyFill="1" applyBorder="1"/>
    <x:xf numFmtId="164" fontId="60" fillId="0" borderId="0" xfId="0" applyNumberFormat="1" applyFont="1" applyFill="1" applyBorder="1" applyAlignment="1">
      <x:alignment horizontal="left" vertical="center"/>
    </x:xf>
    <x:xf numFmtId="2" fontId="64" fillId="5" borderId="5" xfId="0" applyNumberFormat="1" applyFont="1" applyFill="1" applyBorder="1" applyAlignment="1">
      <x:alignment horizontal="left" vertical="center"/>
    </x:xf>
    <x:xf numFmtId="2" fontId="64" fillId="5" borderId="11" xfId="0" applyNumberFormat="1" applyFont="1" applyFill="1" applyBorder="1" applyAlignment="1">
      <x:alignment horizontal="center" vertical="center"/>
    </x:xf>
    <x:xf numFmtId="2" fontId="64" fillId="5" borderId="10" xfId="0" applyNumberFormat="1" applyFont="1" applyFill="1" applyBorder="1" applyAlignment="1">
      <x:alignment horizontal="center" vertical="center"/>
    </x:xf>
    <x:xf numFmtId="2" fontId="64" fillId="5" borderId="13" xfId="0" applyNumberFormat="1" applyFont="1" applyFill="1" applyBorder="1" applyAlignment="1">
      <x:alignment horizontal="left" vertical="center"/>
    </x:xf>
    <x:xf numFmtId="2" fontId="64" fillId="5" borderId="8" xfId="0" applyNumberFormat="1" applyFont="1" applyFill="1" applyBorder="1" applyAlignment="1">
      <x:alignment horizontal="center" vertical="center"/>
    </x:xf>
    <x:xf numFmtId="2" fontId="64" fillId="5" borderId="9" xfId="0" applyNumberFormat="1" applyFont="1" applyFill="1" applyBorder="1" applyAlignment="1">
      <x:alignment horizontal="center" vertical="center"/>
    </x:xf>
    <x:xf numFmtId="1" fontId="64" fillId="5" borderId="9" xfId="0" applyNumberFormat="1" applyFont="1" applyFill="1" applyBorder="1" applyAlignment="1">
      <x:alignment horizontal="left" vertical="center"/>
    </x:xf>
    <x:xf numFmtId="1" fontId="64" fillId="5" borderId="8" xfId="0" applyNumberFormat="1" applyFont="1" applyFill="1" applyBorder="1" applyAlignment="1">
      <x:alignment horizontal="left" vertical="center"/>
    </x:xf>
    <x:xf numFmtId="1" fontId="64" fillId="5" borderId="9" xfId="0" applyNumberFormat="1" applyFont="1" applyFill="1" applyBorder="1" applyAlignment="1">
      <x:alignment horizontal="center" vertical="center"/>
    </x:xf>
    <x:xf numFmtId="164" fontId="64" fillId="5" borderId="8" xfId="0" applyNumberFormat="1" applyFont="1" applyFill="1" applyBorder="1" applyAlignment="1">
      <x:alignment horizontal="left" vertical="center"/>
    </x:xf>
    <x:xf numFmtId="164" fontId="64" fillId="5" borderId="9" xfId="0" applyNumberFormat="1" applyFont="1" applyFill="1" applyBorder="1" applyAlignment="1">
      <x:alignment horizontal="center" vertical="center"/>
    </x:xf>
    <x:xf numFmtId="2" fontId="64" fillId="0" borderId="2" xfId="0" applyNumberFormat="1" applyFont="1" applyFill="1" applyBorder="1"/>
    <x:xf numFmtId="2" fontId="64" fillId="0" borderId="5" xfId="0" applyNumberFormat="1" applyFont="1" applyFill="1" applyBorder="1"/>
    <x:xf numFmtId="164" fontId="60" fillId="4" borderId="5" xfId="0" applyNumberFormat="1" applyFont="1" applyFill="1" applyBorder="1" applyAlignment="1">
      <x:alignment vertical="center"/>
    </x:xf>
    <x:xf numFmtId="2" fontId="64" fillId="0" borderId="6" xfId="0" applyNumberFormat="1" applyFont="1" applyFill="1" applyBorder="1"/>
    <x:xf numFmtId="2" fontId="64" fillId="0" borderId="15" xfId="0" applyNumberFormat="1" applyFont="1" applyFill="1" applyBorder="1"/>
    <x:xf numFmtId="164" fontId="60" fillId="4" borderId="15" xfId="0" applyNumberFormat="1" applyFont="1" applyFill="1" applyBorder="1" applyAlignment="1">
      <x:alignment vertical="center"/>
    </x:xf>
    <x:xf numFmtId="1" fontId="64" fillId="0" borderId="0" xfId="0" applyNumberFormat="1" applyFont="1" applyFill="1" applyBorder="1"/>
    <x:xf numFmtId="2" fontId="64" fillId="0" borderId="13" xfId="0" applyNumberFormat="1" applyFont="1" applyFill="1" applyBorder="1"/>
    <x:xf numFmtId="164" fontId="60" fillId="4" borderId="13" xfId="0" applyNumberFormat="1" applyFont="1" applyFill="1" applyBorder="1" applyAlignment="1">
      <x:alignment vertical="center"/>
    </x:xf>
    <x:xf numFmtId="2" fontId="64" fillId="3" borderId="14" xfId="0" applyNumberFormat="1" applyFont="1" applyFill="1" applyBorder="1" applyAlignment="1">
      <x:alignment horizontal="right"/>
    </x:xf>
    <x:xf numFmtId="164" fontId="64" fillId="4" borderId="8" xfId="0" applyNumberFormat="1" applyFont="1" applyFill="1" applyBorder="1" applyAlignment="1">
      <x:alignment vertical="center"/>
    </x:xf>
    <x:xf numFmtId="164" fontId="68" fillId="4" borderId="1" xfId="0" applyNumberFormat="1" applyFont="1" applyFill="1" applyBorder="1" applyAlignment="1">
      <x:alignment vertical="center"/>
    </x:xf>
    <x:xf numFmtId="164" fontId="64" fillId="4" borderId="9" xfId="0" applyNumberFormat="1" applyFont="1" applyFill="1" applyBorder="1" applyAlignment="1">
      <x:alignment vertical="center"/>
    </x:xf>
    <x:xf numFmtId="1" fontId="60" fillId="0" borderId="0" xfId="0" applyNumberFormat="1" applyFont="1" applyFill="1" applyBorder="1" applyAlignment="1">
      <x:alignment horizontal="center" vertical="center"/>
    </x:xf>
    <x:xf numFmtId="2" fontId="60" fillId="0" borderId="0" xfId="0" applyNumberFormat="1" applyFont="1" applyFill="1" applyBorder="1" applyAlignment="1">
      <x:alignment horizontal="left" vertical="center"/>
    </x:xf>
    <x:xf numFmtId="164" fontId="64" fillId="2" borderId="0" xfId="0" applyNumberFormat="1" applyFont="1" applyFill="1" applyBorder="1" applyAlignment="1">
      <x:alignment horizontal="center"/>
    </x:xf>
    <x:xf numFmtId="164" fontId="60" fillId="2" borderId="2" xfId="0" applyNumberFormat="1" applyFont="1" applyFill="1" applyBorder="1" applyAlignment="1">
      <x:alignment vertical="center"/>
    </x:xf>
    <x:xf numFmtId="164" fontId="60" fillId="0" borderId="4" xfId="0" applyNumberFormat="1" applyFont="1" applyFill="1" applyBorder="1" applyAlignment="1">
      <x:alignment vertical="center"/>
    </x:xf>
    <x:xf numFmtId="164" fontId="60" fillId="0" borderId="3" xfId="0" applyNumberFormat="1" applyFont="1" applyFill="1" applyBorder="1" applyAlignment="1">
      <x:alignment vertical="center"/>
    </x:xf>
    <x:xf numFmtId="164" fontId="60" fillId="2" borderId="6" xfId="0" applyNumberFormat="1" applyFont="1" applyFill="1" applyBorder="1" applyAlignment="1">
      <x:alignment vertical="center"/>
    </x:xf>
    <x:xf numFmtId="164" fontId="60" fillId="0" borderId="7" xfId="0" applyNumberFormat="1" applyFont="1" applyFill="1" applyBorder="1" applyAlignment="1">
      <x:alignment vertical="center"/>
    </x:xf>
    <x:xf numFmtId="2" fontId="64" fillId="0" borderId="8" xfId="0" applyNumberFormat="1" applyFont="1" applyFill="1" applyBorder="1" applyAlignment="1">
      <x:alignment vertical="center"/>
    </x:xf>
    <x:xf numFmtId="164" fontId="60" fillId="2" borderId="8" xfId="0" applyNumberFormat="1" applyFont="1" applyFill="1" applyBorder="1" applyAlignment="1">
      <x:alignment vertical="center"/>
    </x:xf>
    <x:xf numFmtId="164" fontId="60" fillId="0" borderId="1" xfId="0" applyNumberFormat="1" applyFont="1" applyFill="1" applyBorder="1" applyAlignment="1">
      <x:alignment vertical="center"/>
    </x:xf>
    <x:xf numFmtId="164" fontId="60" fillId="0" borderId="9" xfId="0" applyNumberFormat="1" applyFont="1" applyFill="1" applyBorder="1" applyAlignment="1">
      <x:alignment vertical="center"/>
    </x:xf>
    <x:xf numFmtId="2" fontId="64" fillId="0" borderId="2" xfId="0" applyNumberFormat="1" applyFont="1" applyFill="1" applyBorder="1" applyAlignment="1">
      <x:alignment vertical="center"/>
    </x:xf>
    <x:xf numFmtId="2" fontId="64" fillId="0" borderId="5" xfId="0" applyNumberFormat="1" applyFont="1" applyFill="1" applyBorder="1" applyAlignment="1">
      <x:alignment vertical="center"/>
    </x:xf>
    <x:xf numFmtId="2" fontId="64" fillId="0" borderId="6" xfId="0" applyNumberFormat="1" applyFont="1" applyFill="1" applyBorder="1" applyAlignment="1">
      <x:alignment vertical="center"/>
    </x:xf>
    <x:xf numFmtId="2" fontId="64" fillId="0" borderId="15" xfId="0" applyNumberFormat="1" applyFont="1" applyFill="1" applyBorder="1" applyAlignment="1">
      <x:alignment vertical="center"/>
    </x:xf>
    <x:xf numFmtId="1" fontId="64" fillId="0" borderId="0" xfId="0" applyNumberFormat="1" applyFont="1" applyFill="1" applyBorder="1" applyAlignment="1">
      <x:alignment vertical="center"/>
    </x:xf>
    <x:xf numFmtId="2" fontId="64" fillId="0" borderId="13" xfId="0" applyNumberFormat="1" applyFont="1" applyFill="1" applyBorder="1" applyAlignment="1">
      <x:alignment vertical="center"/>
    </x:xf>
    <x:xf numFmtId="2" fontId="64" fillId="3" borderId="14" xfId="0" applyNumberFormat="1" applyFont="1" applyFill="1" applyBorder="1" applyAlignment="1">
      <x:alignment horizontal="right" vertical="center"/>
    </x:xf>
    <x:xf numFmtId="164" fontId="64" fillId="2" borderId="0" xfId="0" applyNumberFormat="1" applyFont="1" applyFill="1" applyBorder="1" applyAlignment="1">
      <x:alignment horizontal="center" vertical="center"/>
    </x:xf>
    <x:xf numFmtId="2" fontId="60" fillId="2" borderId="36" xfId="0" applyNumberFormat="1" applyFont="1" applyFill="1" applyBorder="1" applyAlignment="1">
      <x:alignment vertical="center"/>
    </x:xf>
    <x:xf numFmtId="164" fontId="60" fillId="2" borderId="36" xfId="0" applyNumberFormat="1" applyFont="1" applyFill="1" applyBorder="1" applyAlignment="1">
      <x:alignment horizontal="left" vertical="center"/>
    </x:xf>
    <x:xf numFmtId="2" fontId="60" fillId="2" borderId="30" xfId="0" applyNumberFormat="1" applyFont="1" applyFill="1" applyBorder="1" applyAlignment="1">
      <x:alignment vertical="center"/>
    </x:xf>
    <x:xf numFmtId="0" fontId="64" fillId="2" borderId="30" xfId="0" applyNumberFormat="1" applyFont="1" applyFill="1" applyBorder="1" applyAlignment="1">
      <x:alignment vertical="center"/>
    </x:xf>
    <x:xf numFmtId="2" fontId="60" fillId="2" borderId="30" xfId="0" applyNumberFormat="1" applyFont="1" applyFill="1" applyBorder="1" applyAlignment="1">
      <x:alignment horizontal="center" vertical="center"/>
    </x:xf>
    <x:xf numFmtId="164" fontId="60" fillId="2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vertical="center"/>
    </x:xf>
    <x:xf numFmtId="2" fontId="64" fillId="5" borderId="43" xfId="0" applyNumberFormat="1" applyFont="1" applyFill="1" applyBorder="1" applyAlignment="1">
      <x:alignment horizontal="center" vertical="center"/>
    </x:xf>
    <x:xf numFmtId="2" fontId="64" fillId="5" borderId="38" xfId="0" applyNumberFormat="1" applyFont="1" applyFill="1" applyBorder="1" applyAlignment="1">
      <x:alignment horizontal="center" vertical="center"/>
    </x:xf>
    <x:xf numFmtId="2" fontId="64" fillId="5" borderId="30" xfId="0" applyNumberFormat="1" applyFont="1" applyFill="1" applyBorder="1" applyAlignment="1">
      <x:alignment horizontal="center" vertical="center"/>
    </x:xf>
    <x:xf numFmtId="2" fontId="60" fillId="5" borderId="30" xfId="0" applyNumberFormat="1" applyFont="1" applyFill="1" applyBorder="1" applyAlignment="1">
      <x:alignment horizontal="center" vertical="center"/>
    </x:xf>
    <x:xf numFmtId="37" fontId="64" fillId="5" borderId="43" xfId="0" applyNumberFormat="1" applyFont="1" applyFill="1" applyBorder="1" applyAlignment="1">
      <x:alignment horizontal="center" vertical="center"/>
    </x:xf>
    <x:xf numFmtId="37" fontId="64" fillId="5" borderId="30" xfId="0" applyNumberFormat="1" applyFont="1" applyFill="1" applyBorder="1" applyAlignment="1">
      <x:alignment horizontal="center" vertical="center"/>
    </x:xf>
    <x:xf numFmtId="37" fontId="64" fillId="5" borderId="38" xfId="0" applyNumberFormat="1" applyFont="1" applyFill="1" applyBorder="1" applyAlignment="1">
      <x:alignment horizontal="center" vertical="center"/>
    </x:xf>
    <x:xf numFmtId="1" fontId="60" fillId="2" borderId="30" xfId="0" applyNumberFormat="1" applyFont="1" applyFill="1" applyBorder="1" applyAlignment="1">
      <x:alignment vertical="center"/>
    </x:xf>
    <x:xf numFmtId="1" fontId="60" fillId="0" borderId="30" xfId="0" applyNumberFormat="1" applyFont="1" applyFill="1" applyBorder="1" applyAlignment="1">
      <x:alignment vertical="center"/>
    </x:xf>
    <x:xf numFmtId="1" fontId="64" fillId="0" borderId="43" xfId="0" applyNumberFormat="1" applyFont="1" applyFill="1" applyBorder="1" applyAlignment="1">
      <x:alignment horizontal="left" vertical="center"/>
    </x:xf>
    <x:xf numFmtId="2" fontId="64" fillId="0" borderId="38" xfId="0" applyNumberFormat="1" applyFont="1" applyFill="1" applyBorder="1" applyAlignment="1">
      <x:alignment vertical="center"/>
    </x:xf>
    <x:xf numFmtId="38" fontId="64" fillId="0" borderId="30" xfId="0" applyNumberFormat="1" applyFont="1" applyFill="1" applyBorder="1" applyAlignment="1">
      <x:alignment horizontal="center" vertical="center"/>
    </x:xf>
    <x:xf numFmtId="38" fontId="64" fillId="0" borderId="38" xfId="0" applyNumberFormat="1" applyFont="1" applyFill="1" applyBorder="1" applyAlignment="1">
      <x:alignment horizontal="center" vertical="center"/>
    </x:xf>
    <x:xf numFmtId="38" fontId="60" fillId="0" borderId="30" xfId="0" applyNumberFormat="1" applyFont="1" applyFill="1" applyBorder="1" applyAlignment="1">
      <x:alignment horizontal="right" vertical="center"/>
    </x:xf>
    <x:xf numFmtId="164" fontId="60" fillId="2" borderId="43" xfId="0" applyNumberFormat="1" applyFont="1" applyFill="1" applyBorder="1" applyAlignment="1">
      <x:alignment vertical="center"/>
    </x:xf>
    <x:xf numFmtId="164" fontId="60" fillId="0" borderId="38" xfId="0" applyNumberFormat="1" applyFont="1" applyFill="1" applyBorder="1" applyAlignment="1">
      <x:alignment vertical="center"/>
    </x:xf>
    <x:xf numFmtId="2" fontId="64" fillId="0" borderId="43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horizontal="left" vertical="center"/>
    </x:xf>
    <x:xf numFmtId="2" fontId="64" fillId="5" borderId="44" xfId="0" applyNumberFormat="1" applyFont="1" applyFill="1" applyBorder="1" applyAlignment="1">
      <x:alignment horizontal="left" vertical="center"/>
    </x:xf>
    <x:xf numFmtId="1" fontId="64" fillId="5" borderId="38" xfId="0" applyNumberFormat="1" applyFont="1" applyFill="1" applyBorder="1" applyAlignment="1">
      <x:alignment horizontal="left" vertical="center"/>
    </x:xf>
    <x:xf numFmtId="1" fontId="64" fillId="5" borderId="43" xfId="0" applyNumberFormat="1" applyFont="1" applyFill="1" applyBorder="1" applyAlignment="1">
      <x:alignment horizontal="left" vertical="center"/>
    </x:xf>
    <x:xf numFmtId="1" fontId="64" fillId="5" borderId="38" xfId="0" applyNumberFormat="1" applyFont="1" applyFill="1" applyBorder="1" applyAlignment="1">
      <x:alignment horizontal="center" vertical="center"/>
    </x:xf>
    <x:xf numFmtId="164" fontId="64" fillId="5" borderId="43" xfId="0" applyNumberFormat="1" applyFont="1" applyFill="1" applyBorder="1" applyAlignment="1">
      <x:alignment horizontal="left" vertical="center"/>
    </x:xf>
    <x:xf numFmtId="164" fontId="64" fillId="5" borderId="38" xfId="0" applyNumberFormat="1" applyFont="1" applyFill="1" applyBorder="1" applyAlignment="1">
      <x:alignment horizontal="center" vertical="center"/>
    </x:xf>
    <x:xf numFmtId="2" fontId="64" fillId="0" borderId="30" xfId="0" applyNumberFormat="1" applyFont="1" applyFill="1" applyBorder="1" applyAlignment="1">
      <x:alignment vertical="center"/>
    </x:xf>
    <x:xf numFmtId="2" fontId="64" fillId="0" borderId="44" xfId="0" applyNumberFormat="1" applyFont="1" applyFill="1" applyBorder="1" applyAlignment="1">
      <x:alignment vertical="center"/>
    </x:xf>
    <x:xf numFmtId="164" fontId="60" fillId="4" borderId="44" xfId="0" applyNumberFormat="1" applyFont="1" applyFill="1" applyBorder="1" applyAlignment="1">
      <x:alignment vertical="center"/>
    </x:xf>
    <x:xf numFmtId="1" fontId="64" fillId="0" borderId="30" xfId="0" applyNumberFormat="1" applyFont="1" applyFill="1" applyBorder="1" applyAlignment="1">
      <x:alignment vertical="center"/>
    </x:xf>
    <x:xf numFmtId="2" fontId="64" fillId="3" borderId="44" xfId="0" applyNumberFormat="1" applyFont="1" applyFill="1" applyBorder="1" applyAlignment="1">
      <x:alignment horizontal="right" vertical="center"/>
    </x:xf>
    <x:xf numFmtId="164" fontId="64" fillId="4" borderId="43" xfId="0" applyNumberFormat="1" applyFont="1" applyFill="1" applyBorder="1" applyAlignment="1">
      <x:alignment vertical="center"/>
    </x:xf>
    <x:xf numFmtId="164" fontId="68" fillId="4" borderId="30" xfId="0" applyNumberFormat="1" applyFont="1" applyFill="1" applyBorder="1" applyAlignment="1">
      <x:alignment vertical="center"/>
    </x:xf>
    <x:xf numFmtId="164" fontId="64" fillId="4" borderId="38" xfId="0" applyNumberFormat="1" applyFont="1" applyFill="1" applyBorder="1" applyAlignment="1">
      <x:alignment vertical="center"/>
    </x:xf>
    <x:xf numFmtId="1" fontId="60" fillId="0" borderId="30" xfId="0" applyNumberFormat="1" applyFont="1" applyFill="1" applyBorder="1" applyAlignment="1">
      <x:alignment horizontal="center" vertical="center"/>
    </x:xf>
    <x:xf numFmtId="2" fontId="60" fillId="0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horizontal="center" vertical="center"/>
    </x:xf>
    <x:xf numFmtId="2" fontId="60" fillId="23" borderId="36" xfId="0" applyNumberFormat="1" applyFont="1" applyFill="1" applyBorder="1" applyAlignment="1">
      <x:alignment vertical="center"/>
    </x:xf>
    <x:xf numFmtId="164" fontId="60" fillId="23" borderId="36" xfId="0" applyNumberFormat="1" applyFont="1" applyFill="1" applyBorder="1" applyAlignment="1">
      <x:alignment horizontal="left" vertical="center"/>
    </x:xf>
    <x:xf numFmtId="2" fontId="60" fillId="23" borderId="30" xfId="0" applyNumberFormat="1" applyFont="1" applyFill="1" applyBorder="1" applyAlignment="1">
      <x:alignment vertical="center"/>
    </x:xf>
    <x:xf numFmtId="0" fontId="64" fillId="23" borderId="30" xfId="0" applyNumberFormat="1" applyFont="1" applyFill="1" applyBorder="1" applyAlignment="1">
      <x:alignment vertical="center"/>
    </x:xf>
    <x:xf numFmtId="2" fontId="60" fillId="23" borderId="30" xfId="0" applyNumberFormat="1" applyFont="1" applyFill="1" applyBorder="1" applyAlignment="1">
      <x:alignment horizontal="center" vertical="center"/>
    </x:xf>
    <x:xf numFmtId="164" fontId="60" fillId="23" borderId="30" xfId="0" applyNumberFormat="1" applyFont="1" applyFill="1" applyBorder="1" applyAlignment="1">
      <x:alignment horizontal="left" vertical="center"/>
    </x:xf>
    <x:xf numFmtId="2" fontId="64" fillId="23" borderId="43" xfId="0" applyNumberFormat="1" applyFont="1" applyFill="1" applyBorder="1" applyAlignment="1">
      <x:alignment horizontal="center" vertical="center"/>
    </x:xf>
    <x:xf numFmtId="2" fontId="64" fillId="23" borderId="38" xfId="0" applyNumberFormat="1" applyFont="1" applyFill="1" applyBorder="1" applyAlignment="1">
      <x:alignment horizontal="center" vertical="center"/>
    </x:xf>
    <x:xf numFmtId="2" fontId="64" fillId="23" borderId="30" xfId="0" applyNumberFormat="1" applyFont="1" applyFill="1" applyBorder="1" applyAlignment="1">
      <x:alignment horizontal="center" vertical="center"/>
    </x:xf>
    <x:xf numFmtId="2" fontId="61" fillId="23" borderId="36" xfId="0" applyNumberFormat="1" applyFont="1" applyFill="1" applyBorder="1" applyAlignment="1">
      <x:alignment vertical="center"/>
    </x:xf>
    <x:xf numFmtId="164" fontId="61" fillId="23" borderId="36" xfId="0" applyNumberFormat="1" applyFont="1" applyFill="1" applyBorder="1" applyAlignment="1">
      <x:alignment horizontal="left" vertical="center"/>
    </x:xf>
    <x:xf numFmtId="2" fontId="61" fillId="23" borderId="30" xfId="0" applyNumberFormat="1" applyFont="1" applyFill="1" applyBorder="1" applyAlignment="1">
      <x:alignment vertical="center"/>
    </x:xf>
    <x:xf numFmtId="2" fontId="61" fillId="23" borderId="30" xfId="0" applyNumberFormat="1" applyFont="1" applyFill="1" applyBorder="1" applyAlignment="1">
      <x:alignment horizontal="center" vertical="center"/>
    </x:xf>
    <x:xf numFmtId="164" fontId="61" fillId="23" borderId="30" xfId="0" applyNumberFormat="1" applyFont="1" applyFill="1" applyBorder="1" applyAlignment="1">
      <x:alignment horizontal="left" vertical="center"/>
    </x:xf>
    <x:xf numFmtId="2" fontId="61" fillId="23" borderId="43" xfId="0" applyNumberFormat="1" applyFont="1" applyFill="1" applyBorder="1" applyAlignment="1">
      <x:alignment horizontal="center" vertical="center"/>
    </x:xf>
    <x:xf numFmtId="2" fontId="61" fillId="23" borderId="38" xfId="0" applyNumberFormat="1" applyFont="1" applyFill="1" applyBorder="1" applyAlignment="1">
      <x:alignment horizontal="center" vertical="center"/>
    </x:xf>
    <x:xf numFmtId="164" fontId="64" fillId="24" borderId="30" xfId="0" applyNumberFormat="1" applyFont="1" applyFill="1" applyBorder="1" applyAlignment="1">
      <x:alignment horizontal="right" vertical="center"/>
    </x:xf>
    <x:xf numFmtId="2" fontId="60" fillId="24" borderId="30" xfId="0" applyNumberFormat="1" applyFont="1" applyFill="1" applyBorder="1" applyAlignment="1">
      <x:alignment vertical="center"/>
    </x:xf>
    <x:xf numFmtId="2" fontId="60" fillId="24" borderId="30" xfId="0" applyNumberFormat="1" applyFont="1" applyFill="1" applyBorder="1" applyAlignment="1">
      <x:alignment horizontal="center" vertical="center"/>
    </x:xf>
    <x:xf numFmtId="2" fontId="64" fillId="24" borderId="43" xfId="0" applyNumberFormat="1" applyFont="1" applyFill="1" applyBorder="1" applyAlignment="1">
      <x:alignment horizontal="center" vertical="center"/>
    </x:xf>
    <x:xf numFmtId="2" fontId="64" fillId="24" borderId="38" xfId="0" applyNumberFormat="1" applyFont="1" applyFill="1" applyBorder="1" applyAlignment="1">
      <x:alignment horizontal="center" vertical="center"/>
    </x:xf>
    <x:xf numFmtId="37" fontId="64" fillId="24" borderId="43" xfId="0" applyNumberFormat="1" applyFont="1" applyFill="1" applyBorder="1" applyAlignment="1">
      <x:alignment horizontal="center" vertical="center"/>
    </x:xf>
    <x:xf numFmtId="37" fontId="64" fillId="24" borderId="30" xfId="0" applyNumberFormat="1" applyFont="1" applyFill="1" applyBorder="1" applyAlignment="1">
      <x:alignment horizontal="center" vertical="center"/>
    </x:xf>
    <x:xf numFmtId="37" fontId="64" fillId="24" borderId="38" xfId="0" applyNumberFormat="1" applyFont="1" applyFill="1" applyBorder="1" applyAlignment="1">
      <x:alignment horizontal="center" vertical="center"/>
    </x:xf>
    <x:xf numFmtId="164" fontId="62" fillId="24" borderId="30" xfId="0" applyNumberFormat="1" applyFont="1" applyFill="1" applyBorder="1" applyAlignment="1">
      <x:alignment horizontal="right" vertical="center"/>
    </x:xf>
    <x:xf numFmtId="2" fontId="62" fillId="24" borderId="30" xfId="0" applyNumberFormat="1" applyFont="1" applyFill="1" applyBorder="1" applyAlignment="1">
      <x:alignment vertical="center"/>
    </x:xf>
    <x:xf numFmtId="2" fontId="62" fillId="24" borderId="30" xfId="0" applyNumberFormat="1" applyFont="1" applyFill="1" applyBorder="1" applyAlignment="1">
      <x:alignment horizontal="center" vertical="center"/>
    </x:xf>
    <x:xf numFmtId="2" fontId="62" fillId="24" borderId="43" xfId="0" applyNumberFormat="1" applyFont="1" applyFill="1" applyBorder="1" applyAlignment="1">
      <x:alignment horizontal="center" vertical="center"/>
    </x:xf>
    <x:xf numFmtId="2" fontId="62" fillId="24" borderId="38" xfId="0" applyNumberFormat="1" applyFont="1" applyFill="1" applyBorder="1" applyAlignment="1">
      <x:alignment horizontal="center" vertical="center"/>
    </x:xf>
    <x:xf numFmtId="37" fontId="62" fillId="24" borderId="43" xfId="0" applyNumberFormat="1" applyFont="1" applyFill="1" applyBorder="1" applyAlignment="1">
      <x:alignment horizontal="center" vertical="center"/>
    </x:xf>
    <x:xf numFmtId="37" fontId="62" fillId="24" borderId="30" xfId="0" applyNumberFormat="1" applyFont="1" applyFill="1" applyBorder="1" applyAlignment="1">
      <x:alignment horizontal="center" vertical="center"/>
    </x:xf>
    <x:xf numFmtId="37" fontId="62" fillId="24" borderId="38" xfId="0" applyNumberFormat="1" applyFont="1" applyFill="1" applyBorder="1" applyAlignment="1">
      <x:alignment horizontal="center" vertical="center"/>
    </x:xf>
    <x:xf numFmtId="164" fontId="62" fillId="24" borderId="35" xfId="0" applyNumberFormat="1" applyFont="1" applyFill="1" applyBorder="1" applyAlignment="1">
      <x:alignment horizontal="right" vertical="center"/>
    </x:xf>
    <x:xf numFmtId="2" fontId="62" fillId="24" borderId="35" xfId="0" applyNumberFormat="1" applyFont="1" applyFill="1" applyBorder="1" applyAlignment="1">
      <x:alignment vertical="center"/>
    </x:xf>
    <x:xf numFmtId="2" fontId="62" fillId="24" borderId="35" xfId="0" applyNumberFormat="1" applyFont="1" applyFill="1" applyBorder="1" applyAlignment="1">
      <x:alignment horizontal="center" vertical="center"/>
    </x:xf>
    <x:xf numFmtId="37" fontId="62" fillId="24" borderId="35" xfId="0" applyNumberFormat="1" applyFont="1" applyFill="1" applyBorder="1" applyAlignment="1">
      <x:alignment horizontal="center" vertical="center"/>
    </x:xf>
    <x:xf numFmtId="164" fontId="62" fillId="24" borderId="35" xfId="0" applyNumberFormat="1" applyFont="1" applyFill="1" applyBorder="1" applyAlignment="1">
      <x:alignment horizontal="right" vertical="center" wrapText="1"/>
    </x:xf>
    <x:xf numFmtId="2" fontId="62" fillId="24" borderId="35" xfId="0" applyNumberFormat="1" applyFont="1" applyFill="1" applyBorder="1" applyAlignment="1">
      <x:alignment vertical="center" wrapText="1"/>
    </x:xf>
    <x:xf numFmtId="2" fontId="62" fillId="24" borderId="35" xfId="0" applyNumberFormat="1" applyFont="1" applyFill="1" applyBorder="1" applyAlignment="1">
      <x:alignment horizontal="center" vertical="center" wrapText="1"/>
    </x:xf>
    <x:xf numFmtId="37" fontId="62" fillId="24" borderId="35" xfId="0" applyNumberFormat="1" applyFont="1" applyFill="1" applyBorder="1" applyAlignment="1">
      <x:alignment horizontal="center" vertical="center" wrapText="1"/>
    </x:xf>
    <x:xf numFmtId="1" fontId="60" fillId="25" borderId="30" xfId="0" applyNumberFormat="1" applyFont="1" applyFill="1" applyBorder="1" applyAlignment="1">
      <x:alignment vertical="center"/>
    </x:xf>
    <x:xf numFmtId="1" fontId="64" fillId="25" borderId="43" xfId="0" applyNumberFormat="1" applyFont="1" applyFill="1" applyBorder="1" applyAlignment="1">
      <x:alignment horizontal="left" vertical="center"/>
    </x:xf>
    <x:xf numFmtId="2" fontId="64" fillId="25" borderId="38" xfId="0" applyNumberFormat="1" applyFont="1" applyFill="1" applyBorder="1" applyAlignment="1">
      <x:alignment vertical="center"/>
    </x:xf>
    <x:xf numFmtId="38" fontId="64" fillId="25" borderId="30" xfId="0" applyNumberFormat="1" applyFont="1" applyFill="1" applyBorder="1" applyAlignment="1">
      <x:alignment horizontal="center" vertical="center"/>
    </x:xf>
    <x:xf numFmtId="38" fontId="64" fillId="25" borderId="38" xfId="0" applyNumberFormat="1" applyFont="1" applyFill="1" applyBorder="1" applyAlignment="1">
      <x:alignment horizontal="center" vertical="center"/>
    </x:xf>
    <x:xf numFmtId="38" fontId="60" fillId="25" borderId="30" xfId="0" applyNumberFormat="1" applyFont="1" applyFill="1" applyBorder="1" applyAlignment="1">
      <x:alignment horizontal="right" vertical="center"/>
    </x:xf>
    <x:xf numFmtId="164" fontId="60" fillId="25" borderId="43" xfId="0" applyNumberFormat="1" applyFont="1" applyFill="1" applyBorder="1" applyAlignment="1">
      <x:alignment vertical="center"/>
    </x:xf>
    <x:xf numFmtId="164" fontId="60" fillId="25" borderId="38" xfId="0" applyNumberFormat="1" applyFont="1" applyFill="1" applyBorder="1" applyAlignment="1">
      <x:alignment vertical="center"/>
    </x:xf>
    <x:xf numFmtId="164" fontId="60" fillId="25" borderId="30" xfId="0" applyNumberFormat="1" applyFont="1" applyFill="1" applyBorder="1" applyAlignment="1">
      <x:alignment horizontal="left" vertical="center"/>
    </x:xf>
    <x:xf numFmtId="2" fontId="64" fillId="25" borderId="44" xfId="0" applyNumberFormat="1" applyFont="1" applyFill="1" applyBorder="1" applyAlignment="1">
      <x:alignment horizontal="left" vertical="center"/>
    </x:xf>
    <x:xf numFmtId="2" fontId="64" fillId="25" borderId="43" xfId="0" applyNumberFormat="1" applyFont="1" applyFill="1" applyBorder="1" applyAlignment="1">
      <x:alignment horizontal="center" vertical="center"/>
    </x:xf>
    <x:xf numFmtId="2" fontId="64" fillId="25" borderId="38" xfId="0" applyNumberFormat="1" applyFont="1" applyFill="1" applyBorder="1" applyAlignment="1">
      <x:alignment horizontal="center" vertical="center"/>
    </x:xf>
    <x:xf numFmtId="1" fontId="64" fillId="25" borderId="38" xfId="0" applyNumberFormat="1" applyFont="1" applyFill="1" applyBorder="1" applyAlignment="1">
      <x:alignment horizontal="left" vertical="center"/>
    </x:xf>
    <x:xf numFmtId="1" fontId="64" fillId="25" borderId="38" xfId="0" applyNumberFormat="1" applyFont="1" applyFill="1" applyBorder="1" applyAlignment="1">
      <x:alignment horizontal="center" vertical="center"/>
    </x:xf>
    <x:xf numFmtId="164" fontId="64" fillId="25" borderId="43" xfId="0" applyNumberFormat="1" applyFont="1" applyFill="1" applyBorder="1" applyAlignment="1">
      <x:alignment horizontal="left" vertical="center"/>
    </x:xf>
    <x:xf numFmtId="2" fontId="64" fillId="25" borderId="30" xfId="0" applyNumberFormat="1" applyFont="1" applyFill="1" applyBorder="1" applyAlignment="1">
      <x:alignment vertical="center"/>
    </x:xf>
    <x:xf numFmtId="2" fontId="64" fillId="25" borderId="44" xfId="0" applyNumberFormat="1" applyFont="1" applyFill="1" applyBorder="1" applyAlignment="1">
      <x:alignment vertical="center"/>
    </x:xf>
    <x:xf numFmtId="164" fontId="60" fillId="25" borderId="44" xfId="0" applyNumberFormat="1" applyFont="1" applyFill="1" applyBorder="1" applyAlignment="1">
      <x:alignment vertical="center"/>
    </x:xf>
    <x:xf numFmtId="1" fontId="60" fillId="25" borderId="30" xfId="0" applyNumberFormat="1" applyFont="1" applyFill="1" applyBorder="1" applyAlignment="1">
      <x:alignment horizontal="center" vertical="center"/>
    </x:xf>
    <x:xf numFmtId="1" fontId="64" fillId="25" borderId="30" xfId="0" applyNumberFormat="1" applyFont="1" applyFill="1" applyBorder="1" applyAlignment="1">
      <x:alignment vertical="center"/>
    </x:xf>
  </x:cellXfs>
  <x:cellStyles count="21">
    <x:cellStyle name="40% — акцент1" xfId="9"/>
    <x:cellStyle name="40% — акцент2" xfId="11"/>
    <x:cellStyle name="40% — акцент5" xfId="14"/>
    <x:cellStyle name="40% — акцент6" xfId="16"/>
    <x:cellStyle name="60% — акцент4 2" xfId="18"/>
    <x:cellStyle name="Акцент1" xfId="8"/>
    <x:cellStyle name="Акцент2" xfId="10"/>
    <x:cellStyle name="Акцент4" xfId="12"/>
    <x:cellStyle name="Акцент5" xfId="13"/>
    <x:cellStyle name="Акцент6" xfId="15"/>
    <x:cellStyle name="Денежный 2" xfId="1"/>
    <x:cellStyle name="Обычный" xfId="0"/>
    <x:cellStyle name="Обычный 2" xfId="4"/>
    <x:cellStyle name="Обычный 3" xfId="5"/>
    <x:cellStyle name="Обычный 4" xfId="2"/>
    <x:cellStyle name="Обычный 5" xfId="20"/>
    <x:cellStyle name="Финансовый" xfId="19"/>
    <x:cellStyle name="Финансовый 2" xfId="6"/>
    <x:cellStyle name="Финансовый 3" xfId="7"/>
    <x:cellStyle name="Финансовый 4" xfId="3"/>
    <x:cellStyle name="Финансовый 5" xfId="17"/>
  </x:cellStyles>
  <x:dxfs count="21">
    <x:dxf>
      <x:fill>
        <x:patternFill>
          <x:bgColor rgb="FF00B050"/>
        </x:patternFill>
      </x:fill>
    </x:dxf>
    <x:dxf>
      <x:fill>
        <x:patternFill>
          <x:bgColor rgb="FF00B050"/>
        </x:patternFill>
      </x:fill>
    </x:dxf>
    <x:dxf>
      <x:font>
        <x:color rgb="FF006100"/>
      </x:font>
      <x:fill>
        <x:patternFill>
          <x:bgColor auto="1"/>
        </x:patternFill>
      </x:fill>
    </x:dxf>
    <x:dxf>
      <x:font>
        <x:color rgb="FF9C0006"/>
      </x:font>
      <x:fill>
        <x:patternFill>
          <x:bgColor auto="1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00B050"/>
        </x:patternFill>
      </x:fill>
    </x:dxf>
    <x:dxf>
      <x:font>
        <x:color rgb="FF006100"/>
      </x:font>
      <x:fill>
        <x:patternFill>
          <x:bgColor auto="1"/>
        </x:patternFill>
      </x:fill>
    </x:dxf>
    <x:dxf>
      <x:font>
        <x:color rgb="FF9C0006"/>
      </x:font>
      <x:fill>
        <x:patternFill>
          <x:bgColor auto="1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1cf70a5d741e3" /><Relationship Type="http://schemas.openxmlformats.org/officeDocument/2006/relationships/theme" Target="/xl/theme/theme1.xml" Id="R1c211a251ba24861" /><Relationship Type="http://schemas.openxmlformats.org/officeDocument/2006/relationships/sheetMetadata" Target="/xl/metadata1.xml" Id="R36e41b4fe28b4c53" /><Relationship Type="http://schemas.openxmlformats.org/officeDocument/2006/relationships/sharedStrings" Target="/xl/sharedStrings.xml" Id="R8fa96fe8b7dc4eb7" /><Relationship Type="http://schemas.openxmlformats.org/officeDocument/2006/relationships/worksheet" Target="/xl/worksheets/sheet1.xml" Id="Ra57b030b57a7486d" /><Relationship Type="http://schemas.openxmlformats.org/officeDocument/2006/relationships/worksheet" Target="/xl/worksheets/sheet2.xml" Id="R4af69cd611c04c00" /><Relationship Type="http://schemas.openxmlformats.org/officeDocument/2006/relationships/worksheet" Target="/xl/worksheets/sheet3.xml" Id="Rf115a1efe3da4471" /><Relationship Type="http://schemas.openxmlformats.org/officeDocument/2006/relationships/worksheet" Target="/xl/worksheets/sheet4.xml" Id="R7ed7f47e730f42fd" /><Relationship Type="http://schemas.openxmlformats.org/officeDocument/2006/relationships/worksheet" Target="/xl/worksheets/sheet5.xml" Id="R2fce403b9ebf4361" /><Relationship Type="http://schemas.openxmlformats.org/officeDocument/2006/relationships/worksheet" Target="/xl/worksheets/sheet6.xml" Id="Rba1839c9d9cd4c86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5" defaultRowHeight="15"/>
  <x:cols>
    <x:col min="1" max="2" width="13.5703125" style="1" customWidth="1"/>
    <x:col min="3" max="3" width="13" style="1" hidden="0" customWidth="1"/>
    <x:col min="4" max="9" width="13.5703125" style="1" customWidth="1"/>
    <x:col min="10" max="10" width="13" style="1" hidden="0" customWidth="1"/>
    <x:col min="11" max="13" width="15" style="1" customWidth="0"/>
    <x:col min="14" max="14" width="13" style="1" hidden="0" customWidth="1"/>
    <x:col min="15" max="15" width="13" style="1" hidden="0" customWidth="1"/>
    <x:col min="16" max="16384" width="15" style="1" customWidth="0"/>
    <x:col min="1" max="1" width="16" hidden="0" customWidth="1"/>
    <x:col min="2" max="2" width="1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2" customHeight="1">
      <x:c r="A1" s="421" t="s">
        <x:v>0</x:v>
      </x:c>
      <x:c r="B1" s="397"/>
      <x:c r="C1" s="397"/>
      <x:c r="D1" s="397"/>
      <x:c r="E1" s="397"/>
      <x:c r="F1" s="397"/>
      <x:c r="G1" s="397"/>
      <x:c r="H1" s="397"/>
      <x:c r="I1" s="397"/>
      <x:c r="J1" s="397"/>
      <x:c r="K1" s="398"/>
      <x:c r="L1" s="398"/>
      <x:c r="M1" s="398"/>
      <x:c r="N1" s="398" t="s">
        <x:v>1</x:v>
      </x:c>
      <x:c r="O1" s="399" t="s">
        <x:v>2</x:v>
      </x:c>
    </x:row>
    <x:row r="2" ht="22" customHeight="1">
      <x:c r="A2" s="422"/>
      <x:c r="B2" s="401" t="s">
        <x:v>3</x:v>
      </x:c>
      <x:c r="C2" s="401" t="s">
        <x:v>4</x:v>
      </x:c>
      <x:c r="D2" s="402"/>
      <x:c r="E2" s="402"/>
      <x:c r="F2" s="402"/>
      <x:c r="G2" s="402"/>
      <x:c r="H2" s="402"/>
      <x:c r="I2" s="402"/>
      <x:c r="J2" s="402"/>
      <x:c r="K2" s="402"/>
      <x:c r="L2" s="402"/>
      <x:c r="M2" s="402"/>
      <x:c r="N2" s="402" t="s">
        <x:v>5</x:v>
      </x:c>
      <x:c r="O2" s="403">
        <x:v>7808000</x:v>
      </x:c>
    </x:row>
    <x:row r="3" ht="22" customHeight="1">
      <x:c r="A3" s="422"/>
      <x:c r="B3" s="401" t="s">
        <x:v>6</x:v>
      </x:c>
      <x:c r="C3" s="401" t="s">
        <x:v>7</x:v>
      </x:c>
      <x:c r="D3" s="401" t="s">
        <x:v>7</x:v>
      </x:c>
      <x:c r="E3" s="401" t="s">
        <x:v>7</x:v>
      </x:c>
      <x:c r="F3" s="401" t="s">
        <x:v>8</x:v>
      </x:c>
      <x:c r="G3" s="401" t="s">
        <x:v>7</x:v>
      </x:c>
      <x:c r="H3" s="401" t="s">
        <x:v>7</x:v>
      </x:c>
      <x:c r="I3" s="401" t="s">
        <x:v>7</x:v>
      </x:c>
      <x:c r="J3" s="401" t="s">
        <x:v>9</x:v>
      </x:c>
      <x:c r="K3" s="402"/>
      <x:c r="L3" s="402"/>
      <x:c r="M3" s="402"/>
      <x:c r="N3" s="402" t="s">
        <x:v>10</x:v>
      </x:c>
      <x:c r="O3" s="403">
        <x:v>996000</x:v>
      </x:c>
    </x:row>
    <x:row r="4" ht="22" customHeight="1">
      <x:c r="A4" s="423" t="s">
        <x:v>11</x:v>
      </x:c>
      <x:c r="B4" s="412" t="s">
        <x:v>7</x:v>
      </x:c>
      <x:c r="C4" s="412" t="s">
        <x:v>12</x:v>
      </x:c>
      <x:c r="D4" s="412" t="s">
        <x:v>13</x:v>
      </x:c>
      <x:c r="E4" s="412" t="s">
        <x:v>14</x:v>
      </x:c>
      <x:c r="F4" s="412" t="s">
        <x:v>7</x:v>
      </x:c>
      <x:c r="G4" s="412" t="s">
        <x:v>12</x:v>
      </x:c>
      <x:c r="H4" s="412" t="s">
        <x:v>13</x:v>
      </x:c>
      <x:c r="I4" s="412" t="s">
        <x:v>14</x:v>
      </x:c>
      <x:c r="J4" s="412" t="s">
        <x:v>15</x:v>
      </x:c>
      <x:c r="K4" s="412"/>
      <x:c r="L4" s="412"/>
      <x:c r="M4" s="412"/>
      <x:c r="N4" s="412" t="s">
        <x:v>16</x:v>
      </x:c>
      <x:c r="O4" s="412">
        <x:v>880000</x:v>
      </x:c>
    </x:row>
    <x:row r="5" ht="22" customHeight="1">
      <x:c r="A5" s="424" t="s">
        <x:v>17</x:v>
      </x:c>
      <x:c r="B5" s="414">
        <x:v>2333500</x:v>
      </x:c>
      <x:c r="C5" s="414">
        <x:v>2126300</x:v>
      </x:c>
      <x:c r="D5" s="414">
        <x:v>207200</x:v>
      </x:c>
      <x:c r="E5" s="414">
        <x:v>0</x:v>
      </x:c>
      <x:c r="F5" s="414">
        <x:v>3895101</x:v>
      </x:c>
      <x:c r="G5" s="414">
        <x:v>3895101</x:v>
      </x:c>
      <x:c r="H5" s="414">
        <x:v>0</x:v>
      </x:c>
      <x:c r="I5" s="414">
        <x:v>0</x:v>
      </x:c>
      <x:c r="J5" s="414">
        <x:v>6228601</x:v>
      </x:c>
      <x:c r="K5" s="415"/>
      <x:c r="L5" s="415"/>
      <x:c r="M5" s="415"/>
      <x:c r="N5" s="415" t="s">
        <x:v>18</x:v>
      </x:c>
      <x:c r="O5" s="416">
        <x:v>590000</x:v>
      </x:c>
    </x:row>
    <x:row r="6" ht="22" customHeight="1">
      <x:c r="A6" s="425" t="s">
        <x:v>19</x:v>
      </x:c>
      <x:c r="B6" s="385">
        <x:v>1981200</x:v>
      </x:c>
      <x:c r="C6" s="385">
        <x:v>1799200</x:v>
      </x:c>
      <x:c r="D6" s="385">
        <x:v>0</x:v>
      </x:c>
      <x:c r="E6" s="385">
        <x:v>182000</x:v>
      </x:c>
      <x:c r="F6" s="385">
        <x:v>12335000</x:v>
      </x:c>
      <x:c r="G6" s="385">
        <x:v>3486000</x:v>
      </x:c>
      <x:c r="H6" s="385">
        <x:v>0</x:v>
      </x:c>
      <x:c r="I6" s="385">
        <x:v>8849000</x:v>
      </x:c>
      <x:c r="J6" s="385">
        <x:v>14316200</x:v>
      </x:c>
      <x:c r="K6" s="383"/>
      <x:c r="L6" s="383"/>
      <x:c r="M6" s="383"/>
      <x:c r="N6" s="383" t="s">
        <x:v>20</x:v>
      </x:c>
      <x:c r="O6" s="384">
        <x:v>192000</x:v>
      </x:c>
    </x:row>
    <x:row r="7" ht="22" customHeight="1">
      <x:c r="A7" s="424" t="s">
        <x:v>21</x:v>
      </x:c>
      <x:c r="B7" s="414">
        <x:v>707200</x:v>
      </x:c>
      <x:c r="C7" s="414">
        <x:v>707200</x:v>
      </x:c>
      <x:c r="D7" s="414">
        <x:v>0</x:v>
      </x:c>
      <x:c r="E7" s="414">
        <x:v>0</x:v>
      </x:c>
      <x:c r="F7" s="414">
        <x:v>504000</x:v>
      </x:c>
      <x:c r="G7" s="414">
        <x:v>504000</x:v>
      </x:c>
      <x:c r="H7" s="414">
        <x:v>0</x:v>
      </x:c>
      <x:c r="I7" s="414">
        <x:v>0</x:v>
      </x:c>
      <x:c r="J7" s="414">
        <x:v>1211200</x:v>
      </x:c>
      <x:c r="K7" s="415"/>
      <x:c r="L7" s="415"/>
      <x:c r="M7" s="415"/>
      <x:c r="N7" s="415" t="s">
        <x:v>22</x:v>
      </x:c>
      <x:c r="O7" s="416">
        <x:v>420000</x:v>
      </x:c>
    </x:row>
    <x:row r="8" ht="22" customHeight="1">
      <x:c r="A8" s="425" t="s">
        <x:v>23</x:v>
      </x:c>
      <x:c r="B8" s="385">
        <x:v>5362300</x:v>
      </x:c>
      <x:c r="C8" s="385">
        <x:v>5018500</x:v>
      </x:c>
      <x:c r="D8" s="385">
        <x:v>0</x:v>
      </x:c>
      <x:c r="E8" s="385">
        <x:v>343800</x:v>
      </x:c>
      <x:c r="F8" s="385">
        <x:v>874000</x:v>
      </x:c>
      <x:c r="G8" s="385">
        <x:v>874000</x:v>
      </x:c>
      <x:c r="H8" s="385">
        <x:v>0</x:v>
      </x:c>
      <x:c r="I8" s="385">
        <x:v>0</x:v>
      </x:c>
      <x:c r="J8" s="385">
        <x:v>6236300</x:v>
      </x:c>
      <x:c r="K8" s="383"/>
      <x:c r="L8" s="383"/>
      <x:c r="M8" s="383"/>
      <x:c r="N8" s="383" t="s">
        <x:v>24</x:v>
      </x:c>
      <x:c r="O8" s="384">
        <x:v>1924000</x:v>
      </x:c>
    </x:row>
    <x:row r="9" ht="22" customHeight="1">
      <x:c r="A9" s="424" t="s">
        <x:v>25</x:v>
      </x:c>
      <x:c r="B9" s="414">
        <x:v>3993300</x:v>
      </x:c>
      <x:c r="C9" s="414">
        <x:v>3845300</x:v>
      </x:c>
      <x:c r="D9" s="414">
        <x:v>0</x:v>
      </x:c>
      <x:c r="E9" s="414">
        <x:v>148000</x:v>
      </x:c>
      <x:c r="F9" s="414">
        <x:v>1468000</x:v>
      </x:c>
      <x:c r="G9" s="414">
        <x:v>1258000</x:v>
      </x:c>
      <x:c r="H9" s="414">
        <x:v>0</x:v>
      </x:c>
      <x:c r="I9" s="414">
        <x:v>210000</x:v>
      </x:c>
      <x:c r="J9" s="414">
        <x:v>5461300</x:v>
      </x:c>
      <x:c r="K9" s="415"/>
      <x:c r="L9" s="415"/>
      <x:c r="M9" s="415"/>
      <x:c r="N9" s="415" t="s">
        <x:v>26</x:v>
      </x:c>
      <x:c r="O9" s="416">
        <x:v>398000</x:v>
      </x:c>
    </x:row>
    <x:row r="10" ht="22" customHeight="1">
      <x:c r="A10" s="425" t="s">
        <x:v>27</x:v>
      </x:c>
      <x:c r="B10" s="385">
        <x:v>853600</x:v>
      </x:c>
      <x:c r="C10" s="385">
        <x:v>853600</x:v>
      </x:c>
      <x:c r="D10" s="385">
        <x:v>0</x:v>
      </x:c>
      <x:c r="E10" s="385">
        <x:v>0</x:v>
      </x:c>
      <x:c r="F10" s="385">
        <x:v>2152000</x:v>
      </x:c>
      <x:c r="G10" s="385">
        <x:v>2152000</x:v>
      </x:c>
      <x:c r="H10" s="385">
        <x:v>0</x:v>
      </x:c>
      <x:c r="I10" s="385">
        <x:v>0</x:v>
      </x:c>
      <x:c r="J10" s="385">
        <x:v>3005600</x:v>
      </x:c>
      <x:c r="K10" s="383"/>
      <x:c r="L10" s="383"/>
      <x:c r="M10" s="383"/>
      <x:c r="N10" s="383" t="s">
        <x:v>28</x:v>
      </x:c>
      <x:c r="O10" s="384">
        <x:v>2646000</x:v>
      </x:c>
    </x:row>
    <x:row r="11" ht="22" customHeight="1">
      <x:c r="A11" s="424" t="s">
        <x:v>29</x:v>
      </x:c>
      <x:c r="B11" s="414">
        <x:v>4136754</x:v>
      </x:c>
      <x:c r="C11" s="414">
        <x:v>4136754</x:v>
      </x:c>
      <x:c r="D11" s="414">
        <x:v>0</x:v>
      </x:c>
      <x:c r="E11" s="414">
        <x:v>0</x:v>
      </x:c>
      <x:c r="F11" s="414">
        <x:v>4925400</x:v>
      </x:c>
      <x:c r="G11" s="414">
        <x:v>4925400</x:v>
      </x:c>
      <x:c r="H11" s="414">
        <x:v>0</x:v>
      </x:c>
      <x:c r="I11" s="414">
        <x:v>0</x:v>
      </x:c>
      <x:c r="J11" s="414">
        <x:v>9062154</x:v>
      </x:c>
      <x:c r="K11" s="415"/>
      <x:c r="L11" s="415"/>
      <x:c r="M11" s="415"/>
      <x:c r="N11" s="415" t="s">
        <x:v>30</x:v>
      </x:c>
      <x:c r="O11" s="416">
        <x:v>2473000</x:v>
      </x:c>
    </x:row>
    <x:row r="12" ht="22" customHeight="1">
      <x:c r="A12" s="425" t="s">
        <x:v>31</x:v>
      </x:c>
      <x:c r="B12" s="385">
        <x:v>4246600</x:v>
      </x:c>
      <x:c r="C12" s="385">
        <x:v>3276400</x:v>
      </x:c>
      <x:c r="D12" s="385">
        <x:v>655200</x:v>
      </x:c>
      <x:c r="E12" s="385">
        <x:v>315000</x:v>
      </x:c>
      <x:c r="F12" s="385">
        <x:v>4008000</x:v>
      </x:c>
      <x:c r="G12" s="385">
        <x:v>3060000</x:v>
      </x:c>
      <x:c r="H12" s="385">
        <x:v>948000</x:v>
      </x:c>
      <x:c r="I12" s="385">
        <x:v>0</x:v>
      </x:c>
      <x:c r="J12" s="385">
        <x:v>8254600</x:v>
      </x:c>
      <x:c r="K12" s="383"/>
      <x:c r="L12" s="383"/>
      <x:c r="M12" s="383"/>
      <x:c r="N12" s="383" t="s">
        <x:v>32</x:v>
      </x:c>
      <x:c r="O12" s="384">
        <x:v>1536000</x:v>
      </x:c>
    </x:row>
    <x:row r="13" ht="22" customHeight="1">
      <x:c r="A13" s="424" t="s">
        <x:v>33</x:v>
      </x:c>
      <x:c r="B13" s="414">
        <x:v>2185600</x:v>
      </x:c>
      <x:c r="C13" s="414">
        <x:v>1655000</x:v>
      </x:c>
      <x:c r="D13" s="414">
        <x:v>0</x:v>
      </x:c>
      <x:c r="E13" s="414">
        <x:v>530600</x:v>
      </x:c>
      <x:c r="F13" s="414">
        <x:v>2246800</x:v>
      </x:c>
      <x:c r="G13" s="414">
        <x:v>1542800</x:v>
      </x:c>
      <x:c r="H13" s="414">
        <x:v>0</x:v>
      </x:c>
      <x:c r="I13" s="414">
        <x:v>704000</x:v>
      </x:c>
      <x:c r="J13" s="414">
        <x:v>4432400</x:v>
      </x:c>
      <x:c r="K13" s="415"/>
      <x:c r="L13" s="415"/>
      <x:c r="M13" s="415"/>
      <x:c r="N13" s="415" t="s">
        <x:v>34</x:v>
      </x:c>
      <x:c r="O13" s="416">
        <x:v>1344000</x:v>
      </x:c>
    </x:row>
    <x:row r="14" ht="22" customHeight="1">
      <x:c r="A14" s="425" t="s">
        <x:v>35</x:v>
      </x:c>
      <x:c r="B14" s="385">
        <x:v>848000</x:v>
      </x:c>
      <x:c r="C14" s="385">
        <x:v>848000</x:v>
      </x:c>
      <x:c r="D14" s="385">
        <x:v>0</x:v>
      </x:c>
      <x:c r="E14" s="385">
        <x:v>0</x:v>
      </x:c>
      <x:c r="F14" s="385">
        <x:v>445600</x:v>
      </x:c>
      <x:c r="G14" s="385">
        <x:v>0</x:v>
      </x:c>
      <x:c r="H14" s="385">
        <x:v>0</x:v>
      </x:c>
      <x:c r="I14" s="385">
        <x:v>445600</x:v>
      </x:c>
      <x:c r="J14" s="385">
        <x:v>1293600</x:v>
      </x:c>
      <x:c r="K14" s="383"/>
      <x:c r="L14" s="383"/>
      <x:c r="M14" s="383"/>
      <x:c r="N14" s="383" t="s">
        <x:v>36</x:v>
      </x:c>
      <x:c r="O14" s="384">
        <x:v>192000</x:v>
      </x:c>
    </x:row>
    <x:row r="15" ht="22" customHeight="1">
      <x:c r="A15" s="424" t="s">
        <x:v>37</x:v>
      </x:c>
      <x:c r="B15" s="414">
        <x:v>1721300</x:v>
      </x:c>
      <x:c r="C15" s="414">
        <x:v>1721300</x:v>
      </x:c>
      <x:c r="D15" s="414">
        <x:v>0</x:v>
      </x:c>
      <x:c r="E15" s="414">
        <x:v>0</x:v>
      </x:c>
      <x:c r="F15" s="414">
        <x:v>460000</x:v>
      </x:c>
      <x:c r="G15" s="414">
        <x:v>460000</x:v>
      </x:c>
      <x:c r="H15" s="414">
        <x:v>0</x:v>
      </x:c>
      <x:c r="I15" s="414">
        <x:v>0</x:v>
      </x:c>
      <x:c r="J15" s="414">
        <x:v>2181300</x:v>
      </x:c>
      <x:c r="K15" s="415"/>
      <x:c r="L15" s="415"/>
      <x:c r="M15" s="415"/>
      <x:c r="N15" s="415" t="s">
        <x:v>38</x:v>
      </x:c>
      <x:c r="O15" s="416">
        <x:v>140000</x:v>
      </x:c>
    </x:row>
    <x:row r="16" ht="22" customHeight="1">
      <x:c r="A16" s="425" t="s">
        <x:v>39</x:v>
      </x:c>
      <x:c r="B16" s="385">
        <x:v>9924500</x:v>
      </x:c>
      <x:c r="C16" s="385">
        <x:v>9924500</x:v>
      </x:c>
      <x:c r="D16" s="385">
        <x:v>0</x:v>
      </x:c>
      <x:c r="E16" s="385">
        <x:v>0</x:v>
      </x:c>
      <x:c r="F16" s="385">
        <x:v>4318400</x:v>
      </x:c>
      <x:c r="G16" s="385">
        <x:v>4318400</x:v>
      </x:c>
      <x:c r="H16" s="385">
        <x:v>0</x:v>
      </x:c>
      <x:c r="I16" s="385">
        <x:v>0</x:v>
      </x:c>
      <x:c r="J16" s="385">
        <x:v>14242900</x:v>
      </x:c>
      <x:c r="K16" s="383"/>
      <x:c r="L16" s="383"/>
      <x:c r="M16" s="383"/>
      <x:c r="N16" s="383" t="s">
        <x:v>40</x:v>
      </x:c>
      <x:c r="O16" s="384">
        <x:v>206000</x:v>
      </x:c>
    </x:row>
    <x:row r="17" ht="22" customHeight="1">
      <x:c r="A17" s="424" t="s">
        <x:v>41</x:v>
      </x:c>
      <x:c r="B17" s="414">
        <x:v>17606200</x:v>
      </x:c>
      <x:c r="C17" s="414">
        <x:v>9112400</x:v>
      </x:c>
      <x:c r="D17" s="414">
        <x:v>7811200</x:v>
      </x:c>
      <x:c r="E17" s="414">
        <x:v>682600</x:v>
      </x:c>
      <x:c r="F17" s="414">
        <x:v>25034400</x:v>
      </x:c>
      <x:c r="G17" s="414">
        <x:v>18444400</x:v>
      </x:c>
      <x:c r="H17" s="414">
        <x:v>6590000</x:v>
      </x:c>
      <x:c r="I17" s="414">
        <x:v>0</x:v>
      </x:c>
      <x:c r="J17" s="414">
        <x:v>42640600</x:v>
      </x:c>
      <x:c r="K17" s="415"/>
      <x:c r="L17" s="415"/>
      <x:c r="M17" s="415"/>
      <x:c r="N17" s="415" t="s">
        <x:v>42</x:v>
      </x:c>
      <x:c r="O17" s="416">
        <x:v>996000</x:v>
      </x:c>
    </x:row>
    <x:row r="18" ht="22" customHeight="1">
      <x:c r="A18" s="425" t="s">
        <x:v>43</x:v>
      </x:c>
      <x:c r="B18" s="385">
        <x:v>2602300</x:v>
      </x:c>
      <x:c r="C18" s="385">
        <x:v>2486300</x:v>
      </x:c>
      <x:c r="D18" s="385">
        <x:v>0</x:v>
      </x:c>
      <x:c r="E18" s="385">
        <x:v>116000</x:v>
      </x:c>
      <x:c r="F18" s="385">
        <x:v>1492000</x:v>
      </x:c>
      <x:c r="G18" s="385">
        <x:v>1492000</x:v>
      </x:c>
      <x:c r="H18" s="385">
        <x:v>0</x:v>
      </x:c>
      <x:c r="I18" s="385">
        <x:v>0</x:v>
      </x:c>
      <x:c r="J18" s="385">
        <x:v>4094300</x:v>
      </x:c>
      <x:c r="K18" s="383"/>
      <x:c r="L18" s="383"/>
      <x:c r="M18" s="383"/>
      <x:c r="N18" s="383" t="s">
        <x:v>44</x:v>
      </x:c>
      <x:c r="O18" s="384">
        <x:v>4324000</x:v>
      </x:c>
    </x:row>
    <x:row r="19" ht="22" customHeight="1">
      <x:c r="A19" s="424" t="s">
        <x:v>45</x:v>
      </x:c>
      <x:c r="B19" s="414">
        <x:v>725200</x:v>
      </x:c>
      <x:c r="C19" s="414">
        <x:v>725200</x:v>
      </x:c>
      <x:c r="D19" s="414">
        <x:v>0</x:v>
      </x:c>
      <x:c r="E19" s="414">
        <x:v>0</x:v>
      </x:c>
      <x:c r="F19" s="414">
        <x:v>647000</x:v>
      </x:c>
      <x:c r="G19" s="414">
        <x:v>647000</x:v>
      </x:c>
      <x:c r="H19" s="414">
        <x:v>0</x:v>
      </x:c>
      <x:c r="I19" s="414">
        <x:v>0</x:v>
      </x:c>
      <x:c r="J19" s="414">
        <x:v>1372200</x:v>
      </x:c>
      <x:c r="K19" s="415"/>
      <x:c r="L19" s="415"/>
      <x:c r="M19" s="415"/>
      <x:c r="N19" s="415" t="s">
        <x:v>46</x:v>
      </x:c>
      <x:c r="O19" s="416">
        <x:v>1606000</x:v>
      </x:c>
    </x:row>
    <x:row r="20" ht="22" customHeight="1">
      <x:c r="A20" s="425" t="s">
        <x:v>47</x:v>
      </x:c>
      <x:c r="B20" s="385">
        <x:v>539800</x:v>
      </x:c>
      <x:c r="C20" s="385">
        <x:v>539800</x:v>
      </x:c>
      <x:c r="D20" s="385">
        <x:v>0</x:v>
      </x:c>
      <x:c r="E20" s="385">
        <x:v>0</x:v>
      </x:c>
      <x:c r="F20" s="385">
        <x:v>856000</x:v>
      </x:c>
      <x:c r="G20" s="385">
        <x:v>372000</x:v>
      </x:c>
      <x:c r="H20" s="385">
        <x:v>0</x:v>
      </x:c>
      <x:c r="I20" s="385">
        <x:v>484000</x:v>
      </x:c>
      <x:c r="J20" s="385">
        <x:v>1395800</x:v>
      </x:c>
      <x:c r="K20" s="383"/>
      <x:c r="L20" s="383"/>
      <x:c r="M20" s="383"/>
      <x:c r="N20" s="383" t="s">
        <x:v>48</x:v>
      </x:c>
      <x:c r="O20" s="384">
        <x:v>2018000</x:v>
      </x:c>
    </x:row>
    <x:row r="21" ht="22" customHeight="1">
      <x:c r="A21" s="424" t="s">
        <x:v>49</x:v>
      </x:c>
      <x:c r="B21" s="414">
        <x:v>11364800</x:v>
      </x:c>
      <x:c r="C21" s="414">
        <x:v>7728100</x:v>
      </x:c>
      <x:c r="D21" s="414">
        <x:v>0</x:v>
      </x:c>
      <x:c r="E21" s="414">
        <x:v>3636700</x:v>
      </x:c>
      <x:c r="F21" s="414">
        <x:v>4444800</x:v>
      </x:c>
      <x:c r="G21" s="414">
        <x:v>3296000</x:v>
      </x:c>
      <x:c r="H21" s="414">
        <x:v>0</x:v>
      </x:c>
      <x:c r="I21" s="414">
        <x:v>1148800</x:v>
      </x:c>
      <x:c r="J21" s="414">
        <x:v>15809600</x:v>
      </x:c>
      <x:c r="K21" s="415"/>
      <x:c r="L21" s="415"/>
      <x:c r="M21" s="415"/>
      <x:c r="N21" s="415" t="s">
        <x:v>50</x:v>
      </x:c>
      <x:c r="O21" s="416">
        <x:v>708000</x:v>
      </x:c>
    </x:row>
    <x:row r="22" ht="22" customHeight="1">
      <x:c r="A22" s="425" t="s">
        <x:v>51</x:v>
      </x:c>
      <x:c r="B22" s="385">
        <x:v>4314400</x:v>
      </x:c>
      <x:c r="C22" s="385">
        <x:v>4314400</x:v>
      </x:c>
      <x:c r="D22" s="385">
        <x:v>0</x:v>
      </x:c>
      <x:c r="E22" s="385">
        <x:v>0</x:v>
      </x:c>
      <x:c r="F22" s="385">
        <x:v>279000</x:v>
      </x:c>
      <x:c r="G22" s="385">
        <x:v>279000</x:v>
      </x:c>
      <x:c r="H22" s="385">
        <x:v>0</x:v>
      </x:c>
      <x:c r="I22" s="385">
        <x:v>0</x:v>
      </x:c>
      <x:c r="J22" s="385">
        <x:v>4593400</x:v>
      </x:c>
      <x:c r="K22" s="383"/>
      <x:c r="L22" s="383"/>
      <x:c r="M22" s="383"/>
      <x:c r="N22" s="383" t="s">
        <x:v>52</x:v>
      </x:c>
      <x:c r="O22" s="384">
        <x:v>3564500</x:v>
      </x:c>
    </x:row>
    <x:row r="23" ht="22" customHeight="1">
      <x:c r="A23" s="424" t="s">
        <x:v>53</x:v>
      </x:c>
      <x:c r="B23" s="414">
        <x:v>336200</x:v>
      </x:c>
      <x:c r="C23" s="414">
        <x:v>247400</x:v>
      </x:c>
      <x:c r="D23" s="414">
        <x:v>0</x:v>
      </x:c>
      <x:c r="E23" s="414">
        <x:v>88800</x:v>
      </x:c>
      <x:c r="F23" s="414">
        <x:v>0</x:v>
      </x:c>
      <x:c r="G23" s="414">
        <x:v>0</x:v>
      </x:c>
      <x:c r="H23" s="414">
        <x:v>0</x:v>
      </x:c>
      <x:c r="I23" s="414">
        <x:v>0</x:v>
      </x:c>
      <x:c r="J23" s="414">
        <x:v>336200</x:v>
      </x:c>
      <x:c r="K23" s="415"/>
      <x:c r="L23" s="415"/>
      <x:c r="M23" s="415"/>
      <x:c r="N23" s="415" t="s">
        <x:v>54</x:v>
      </x:c>
      <x:c r="O23" s="416">
        <x:v>1966000</x:v>
      </x:c>
    </x:row>
    <x:row r="24" ht="22" customHeight="1">
      <x:c r="A24" s="425" t="s">
        <x:v>55</x:v>
      </x:c>
      <x:c r="B24" s="385">
        <x:v>75782754</x:v>
      </x:c>
      <x:c r="C24" s="385">
        <x:v>61065654</x:v>
      </x:c>
      <x:c r="D24" s="385">
        <x:v>8673600</x:v>
      </x:c>
      <x:c r="E24" s="385">
        <x:v>6043500</x:v>
      </x:c>
      <x:c r="F24" s="385">
        <x:v>70385501</x:v>
      </x:c>
      <x:c r="G24" s="385">
        <x:v>51006101</x:v>
      </x:c>
      <x:c r="H24" s="385">
        <x:v>7538000</x:v>
      </x:c>
      <x:c r="I24" s="385">
        <x:v>11841400</x:v>
      </x:c>
      <x:c r="J24" s="385">
        <x:v>146168255</x:v>
      </x:c>
      <x:c r="K24" s="383"/>
      <x:c r="L24" s="383"/>
      <x:c r="M24" s="383"/>
      <x:c r="N24" s="383" t="s">
        <x:v>56</x:v>
      </x:c>
      <x:c r="O24" s="384">
        <x:v>604000</x:v>
      </x:c>
    </x:row>
    <x:row r="25" ht="22" customHeight="1">
      <x:c r="A25" s="424"/>
      <x:c r="B25" s="414"/>
      <x:c r="C25" s="414"/>
      <x:c r="D25" s="414"/>
      <x:c r="E25" s="414"/>
      <x:c r="F25" s="414"/>
      <x:c r="G25" s="414"/>
      <x:c r="H25" s="414"/>
      <x:c r="I25" s="414"/>
      <x:c r="J25" s="414"/>
      <x:c r="K25" s="415"/>
      <x:c r="L25" s="415"/>
      <x:c r="M25" s="415"/>
      <x:c r="N25" s="415" t="s">
        <x:v>57</x:v>
      </x:c>
      <x:c r="O25" s="416">
        <x:v>412000</x:v>
      </x:c>
    </x:row>
    <x:row r="26" ht="22" customHeight="1">
      <x:c r="A26" s="426"/>
      <x:c r="B26" s="383" t="b">
        <x:f>B25='LM Kassa'!C5</x:f>
        <x:v>0</x:v>
      </x:c>
      <x:c r="C26" s="383" t="b">
        <x:f>C25='LM Kassa'!D5</x:f>
        <x:v>0</x:v>
      </x:c>
      <x:c r="D26" s="383"/>
      <x:c r="E26" s="383"/>
      <x:c r="F26" s="386" t="b">
        <x:f>F25='KASSA SOF'!C3</x:f>
        <x:v>0</x:v>
      </x:c>
      <x:c r="G26" s="383" t="b">
        <x:f>G25='KASSA SOF'!D3</x:f>
        <x:v>0</x:v>
      </x:c>
      <x:c r="H26" s="383"/>
      <x:c r="I26" s="383"/>
      <x:c r="J26" s="383"/>
      <x:c r="K26" s="383"/>
      <x:c r="L26" s="383"/>
      <x:c r="M26" s="383"/>
      <x:c r="N26" s="383" t="s">
        <x:v>58</x:v>
      </x:c>
      <x:c r="O26" s="384">
        <x:v>840000</x:v>
      </x:c>
    </x:row>
    <x:row r="27" ht="22" customHeight="1">
      <x:c r="A27" s="427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 t="s">
        <x:v>59</x:v>
      </x:c>
      <x:c r="O27" s="416">
        <x:v>2448000</x:v>
      </x:c>
    </x:row>
    <x:row r="28" ht="22" customHeight="1">
      <x:c r="A28" s="426"/>
      <x:c r="B28" s="383"/>
      <x:c r="C28" s="383"/>
      <x:c r="D28" s="383"/>
      <x:c r="E28" s="383"/>
      <x:c r="F28" s="383"/>
      <x:c r="G28" s="383"/>
      <x:c r="H28" s="383"/>
      <x:c r="I28" s="383"/>
      <x:c r="J28" s="383"/>
      <x:c r="K28" s="383"/>
      <x:c r="L28" s="383"/>
      <x:c r="M28" s="383"/>
      <x:c r="N28" s="383" t="s">
        <x:v>60</x:v>
      </x:c>
      <x:c r="O28" s="384">
        <x:v>192000</x:v>
      </x:c>
    </x:row>
    <x:row r="29" ht="22" customHeight="1">
      <x:c r="A29" s="427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 t="s">
        <x:v>61</x:v>
      </x:c>
      <x:c r="O29" s="416">
        <x:v>1270000</x:v>
      </x:c>
    </x:row>
    <x:row r="30" ht="22" customHeight="1">
      <x:c r="A30" s="426"/>
      <x:c r="B30" s="383"/>
      <x:c r="C30" s="383"/>
      <x:c r="D30" s="383"/>
      <x:c r="E30" s="383"/>
      <x:c r="F30" s="383"/>
      <x:c r="G30" s="383"/>
      <x:c r="H30" s="383"/>
      <x:c r="I30" s="383"/>
      <x:c r="J30" s="383"/>
      <x:c r="K30" s="383"/>
      <x:c r="L30" s="383"/>
      <x:c r="M30" s="383"/>
      <x:c r="N30" s="383" t="s">
        <x:v>62</x:v>
      </x:c>
      <x:c r="O30" s="384">
        <x:v>1238000</x:v>
      </x:c>
    </x:row>
    <x:row r="31" ht="22" customHeight="1">
      <x:c r="A31" s="427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 t="s">
        <x:v>63</x:v>
      </x:c>
      <x:c r="O31" s="416">
        <x:v>192000</x:v>
      </x:c>
    </x:row>
    <x:row r="32" ht="22" customHeight="1">
      <x:c r="A32" s="426"/>
      <x:c r="B32" s="383"/>
      <x:c r="C32" s="383"/>
      <x:c r="D32" s="383"/>
      <x:c r="E32" s="383"/>
      <x:c r="F32" s="383"/>
      <x:c r="G32" s="383"/>
      <x:c r="H32" s="383"/>
      <x:c r="I32" s="383"/>
      <x:c r="J32" s="383"/>
      <x:c r="K32" s="383"/>
      <x:c r="L32" s="383"/>
      <x:c r="M32" s="383"/>
      <x:c r="N32" s="383" t="s">
        <x:v>64</x:v>
      </x:c>
      <x:c r="O32" s="384">
        <x:v>626000</x:v>
      </x:c>
    </x:row>
    <x:row r="33" ht="22" customHeight="1">
      <x:c r="A33" s="427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 t="s">
        <x:v>65</x:v>
      </x:c>
      <x:c r="O33" s="416">
        <x:v>2948000</x:v>
      </x:c>
    </x:row>
    <x:row r="34" ht="22" customHeight="1">
      <x:c r="A34" s="426"/>
      <x:c r="B34" s="383"/>
      <x:c r="C34" s="383"/>
      <x:c r="D34" s="383"/>
      <x:c r="E34" s="383"/>
      <x:c r="F34" s="383"/>
      <x:c r="G34" s="383"/>
      <x:c r="H34" s="383"/>
      <x:c r="I34" s="383"/>
      <x:c r="J34" s="383"/>
      <x:c r="K34" s="383"/>
      <x:c r="L34" s="383"/>
      <x:c r="M34" s="383"/>
      <x:c r="N34" s="383" t="s">
        <x:v>66</x:v>
      </x:c>
      <x:c r="O34" s="384">
        <x:v>768000</x:v>
      </x:c>
    </x:row>
    <x:row r="35" ht="22" customHeight="1">
      <x:c r="A35" s="427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 t="s">
        <x:v>67</x:v>
      </x:c>
      <x:c r="O35" s="416">
        <x:v>1272000</x:v>
      </x:c>
    </x:row>
    <x:row r="36" ht="22" customHeight="1">
      <x:c r="A36" s="426"/>
      <x:c r="B36" s="383"/>
      <x:c r="C36" s="383"/>
      <x:c r="D36" s="383"/>
      <x:c r="E36" s="383"/>
      <x:c r="F36" s="383"/>
      <x:c r="G36" s="383"/>
      <x:c r="H36" s="383"/>
      <x:c r="I36" s="383"/>
      <x:c r="J36" s="383"/>
      <x:c r="K36" s="383"/>
      <x:c r="L36" s="383"/>
      <x:c r="M36" s="383"/>
      <x:c r="N36" s="383" t="s">
        <x:v>68</x:v>
      </x:c>
      <x:c r="O36" s="384">
        <x:v>3904000</x:v>
      </x:c>
    </x:row>
    <x:row r="37" ht="22" customHeight="1">
      <x:c r="A37" s="427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 t="s">
        <x:v>69</x:v>
      </x:c>
      <x:c r="O37" s="416">
        <x:v>576000</x:v>
      </x:c>
    </x:row>
    <x:row r="38" ht="22" customHeight="1">
      <x:c r="A38" s="426"/>
      <x:c r="B38" s="383"/>
      <x:c r="C38" s="383"/>
      <x:c r="D38" s="383"/>
      <x:c r="E38" s="383"/>
      <x:c r="F38" s="383"/>
      <x:c r="G38" s="383"/>
      <x:c r="H38" s="383"/>
      <x:c r="I38" s="383"/>
      <x:c r="J38" s="383"/>
      <x:c r="K38" s="383"/>
      <x:c r="L38" s="383"/>
      <x:c r="M38" s="383"/>
      <x:c r="N38" s="383" t="s">
        <x:v>70</x:v>
      </x:c>
      <x:c r="O38" s="384">
        <x:v>840000</x:v>
      </x:c>
    </x:row>
    <x:row r="39" ht="22" customHeight="1">
      <x:c r="A39" s="427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 t="s">
        <x:v>71</x:v>
      </x:c>
      <x:c r="O39" s="416">
        <x:v>768000</x:v>
      </x:c>
    </x:row>
    <x:row r="40" ht="22" customHeight="1">
      <x:c r="A40" s="426"/>
      <x:c r="B40" s="383"/>
      <x:c r="C40" s="383"/>
      <x:c r="D40" s="383"/>
      <x:c r="E40" s="383"/>
      <x:c r="F40" s="383"/>
      <x:c r="G40" s="383"/>
      <x:c r="H40" s="383"/>
      <x:c r="I40" s="383"/>
      <x:c r="J40" s="383"/>
      <x:c r="K40" s="383"/>
      <x:c r="L40" s="383"/>
      <x:c r="M40" s="383"/>
      <x:c r="N40" s="383" t="s">
        <x:v>72</x:v>
      </x:c>
      <x:c r="O40" s="384">
        <x:v>330000</x:v>
      </x:c>
    </x:row>
    <x:row r="41" ht="22" customHeight="1">
      <x:c r="A41" s="427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 t="s">
        <x:v>73</x:v>
      </x:c>
      <x:c r="O41" s="416">
        <x:v>997000</x:v>
      </x:c>
    </x:row>
    <x:row r="42" ht="22" customHeight="1">
      <x:c r="A42" s="426"/>
      <x:c r="B42" s="383"/>
      <x:c r="C42" s="383"/>
      <x:c r="D42" s="383"/>
      <x:c r="E42" s="383"/>
      <x:c r="F42" s="383"/>
      <x:c r="G42" s="383"/>
      <x:c r="H42" s="383"/>
      <x:c r="I42" s="383"/>
      <x:c r="J42" s="383"/>
      <x:c r="K42" s="383"/>
      <x:c r="L42" s="383"/>
      <x:c r="M42" s="383"/>
      <x:c r="N42" s="383" t="s">
        <x:v>74</x:v>
      </x:c>
      <x:c r="O42" s="384">
        <x:v>152000</x:v>
      </x:c>
    </x:row>
    <x:row r="43" ht="22" customHeight="1">
      <x:c r="A43" s="427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 t="s">
        <x:v>75</x:v>
      </x:c>
      <x:c r="O43" s="416">
        <x:v>283500</x:v>
      </x:c>
    </x:row>
    <x:row r="44" ht="22" customHeight="1">
      <x:c r="A44" s="426"/>
      <x:c r="B44" s="383"/>
      <x:c r="C44" s="383"/>
      <x:c r="D44" s="383"/>
      <x:c r="E44" s="383"/>
      <x:c r="F44" s="383"/>
      <x:c r="G44" s="383"/>
      <x:c r="H44" s="383"/>
      <x:c r="I44" s="383"/>
      <x:c r="J44" s="383"/>
      <x:c r="K44" s="383"/>
      <x:c r="L44" s="383"/>
      <x:c r="M44" s="383"/>
      <x:c r="N44" s="383" t="s">
        <x:v>76</x:v>
      </x:c>
      <x:c r="O44" s="384">
        <x:v>70000</x:v>
      </x:c>
    </x:row>
    <x:row r="45" ht="22" customHeight="1">
      <x:c r="A45" s="427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 t="s">
        <x:v>77</x:v>
      </x:c>
      <x:c r="O45" s="416">
        <x:v>378000</x:v>
      </x:c>
    </x:row>
    <x:row r="46" ht="22" customHeight="1">
      <x:c r="A46" s="426"/>
      <x:c r="B46" s="383"/>
      <x:c r="C46" s="383"/>
      <x:c r="D46" s="383"/>
      <x:c r="E46" s="383"/>
      <x:c r="F46" s="383"/>
      <x:c r="G46" s="383"/>
      <x:c r="H46" s="383"/>
      <x:c r="I46" s="383"/>
      <x:c r="J46" s="383"/>
      <x:c r="K46" s="383"/>
      <x:c r="L46" s="383"/>
      <x:c r="M46" s="383"/>
      <x:c r="N46" s="383" t="s">
        <x:v>78</x:v>
      </x:c>
      <x:c r="O46" s="384">
        <x:v>69000</x:v>
      </x:c>
    </x:row>
    <x:row r="47" ht="22" customHeight="1">
      <x:c r="A47" s="427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 t="s">
        <x:v>79</x:v>
      </x:c>
      <x:c r="O47" s="416">
        <x:v>970000</x:v>
      </x:c>
    </x:row>
    <x:row r="48" ht="22" customHeight="1">
      <x:c r="A48" s="426"/>
      <x:c r="B48" s="383"/>
      <x:c r="C48" s="383"/>
      <x:c r="D48" s="383"/>
      <x:c r="E48" s="383"/>
      <x:c r="F48" s="383"/>
      <x:c r="G48" s="383"/>
      <x:c r="H48" s="383"/>
      <x:c r="I48" s="383"/>
      <x:c r="J48" s="383"/>
      <x:c r="K48" s="383"/>
      <x:c r="L48" s="383"/>
      <x:c r="M48" s="383"/>
      <x:c r="N48" s="383" t="s">
        <x:v>80</x:v>
      </x:c>
      <x:c r="O48" s="384">
        <x:v>1288000</x:v>
      </x:c>
    </x:row>
    <x:row r="49" ht="22" customHeight="1">
      <x:c r="A49" s="427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 t="s">
        <x:v>81</x:v>
      </x:c>
      <x:c r="O49" s="416">
        <x:v>283500</x:v>
      </x:c>
    </x:row>
    <x:row r="50" ht="22" customHeight="1">
      <x:c r="A50" s="426"/>
      <x:c r="B50" s="383"/>
      <x:c r="C50" s="383"/>
      <x:c r="D50" s="383"/>
      <x:c r="E50" s="383"/>
      <x:c r="F50" s="383"/>
      <x:c r="G50" s="383"/>
      <x:c r="H50" s="383"/>
      <x:c r="I50" s="383"/>
      <x:c r="J50" s="383"/>
      <x:c r="K50" s="383"/>
      <x:c r="L50" s="383"/>
      <x:c r="M50" s="383"/>
      <x:c r="N50" s="383" t="s">
        <x:v>82</x:v>
      </x:c>
      <x:c r="O50" s="384">
        <x:v>1934000</x:v>
      </x:c>
    </x:row>
    <x:row r="51" ht="22" customHeight="1">
      <x:c r="A51" s="427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 t="s">
        <x:v>83</x:v>
      </x:c>
      <x:c r="O51" s="416">
        <x:v>574000</x:v>
      </x:c>
    </x:row>
    <x:row r="52" ht="22" customHeight="1">
      <x:c r="A52" s="426"/>
      <x:c r="B52" s="383"/>
      <x:c r="C52" s="383"/>
      <x:c r="D52" s="383"/>
      <x:c r="E52" s="383"/>
      <x:c r="F52" s="383"/>
      <x:c r="G52" s="383"/>
      <x:c r="H52" s="383"/>
      <x:c r="I52" s="383"/>
      <x:c r="J52" s="383"/>
      <x:c r="K52" s="383"/>
      <x:c r="L52" s="383"/>
      <x:c r="M52" s="383"/>
      <x:c r="N52" s="383" t="s">
        <x:v>84</x:v>
      </x:c>
      <x:c r="O52" s="384">
        <x:v>3829000</x:v>
      </x:c>
    </x:row>
    <x:row r="53" ht="22" customHeight="1">
      <x:c r="A53" s="427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 t="s">
        <x:v>85</x:v>
      </x:c>
      <x:c r="O53" s="416">
        <x:v>1328000</x:v>
      </x:c>
    </x:row>
    <x:row r="54" ht="22" customHeight="1">
      <x:c r="A54" s="426"/>
      <x:c r="B54" s="383"/>
      <x:c r="C54" s="383"/>
      <x:c r="D54" s="383"/>
      <x:c r="E54" s="383"/>
      <x:c r="F54" s="383"/>
      <x:c r="G54" s="383"/>
      <x:c r="H54" s="383"/>
      <x:c r="I54" s="383"/>
      <x:c r="J54" s="383"/>
      <x:c r="K54" s="383"/>
      <x:c r="L54" s="383"/>
      <x:c r="M54" s="383"/>
      <x:c r="N54" s="383" t="s">
        <x:v>86</x:v>
      </x:c>
      <x:c r="O54" s="384">
        <x:v>2869000</x:v>
      </x:c>
    </x:row>
    <x:row r="55" ht="22" customHeight="1">
      <x:c r="A55" s="427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 t="s">
        <x:v>87</x:v>
      </x:c>
      <x:c r="O55" s="416">
        <x:v>290000</x:v>
      </x:c>
    </x:row>
    <x:row r="56" ht="22" customHeight="1">
      <x:c r="A56" s="426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 t="s">
        <x:v>88</x:v>
      </x:c>
      <x:c r="O56" s="384">
        <x:v>544500</x:v>
      </x:c>
    </x:row>
    <x:row r="57" ht="22" customHeight="1">
      <x:c r="A57" s="427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 t="s">
        <x:v>89</x:v>
      </x:c>
      <x:c r="O57" s="416">
        <x:v>140000</x:v>
      </x:c>
    </x:row>
    <x:row r="58" ht="22" customHeight="1">
      <x:c r="A58" s="426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 t="s">
        <x:v>90</x:v>
      </x:c>
      <x:c r="O58" s="384">
        <x:v>288500</x:v>
      </x:c>
    </x:row>
    <x:row r="59" ht="22" customHeight="1">
      <x:c r="A59" s="427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 t="s">
        <x:v>91</x:v>
      </x:c>
      <x:c r="O59" s="416">
        <x:v>676000</x:v>
      </x:c>
    </x:row>
    <x:row r="60" ht="22" customHeight="1">
      <x:c r="A60" s="426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 t="s">
        <x:v>92</x:v>
      </x:c>
      <x:c r="O60" s="384">
        <x:v>1612500</x:v>
      </x:c>
    </x:row>
    <x:row r="61" ht="22" customHeight="1">
      <x:c r="A61" s="427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 t="s">
        <x:v>93</x:v>
      </x:c>
      <x:c r="O61" s="416">
        <x:v>368000</x:v>
      </x:c>
    </x:row>
    <x:row r="62" ht="22" customHeight="1">
      <x:c r="A62" s="426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 t="s">
        <x:v>94</x:v>
      </x:c>
      <x:c r="O62" s="384">
        <x:v>634500</x:v>
      </x:c>
    </x:row>
    <x:row r="63" ht="22" customHeight="1">
      <x:c r="A63" s="427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 t="s">
        <x:v>95</x:v>
      </x:c>
      <x:c r="O63" s="416">
        <x:v>140000</x:v>
      </x:c>
    </x:row>
    <x:row r="64" ht="22" customHeight="1">
      <x:c r="A64" s="426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 t="s">
        <x:v>96</x:v>
      </x:c>
      <x:c r="O64" s="384">
        <x:v>634000</x:v>
      </x:c>
    </x:row>
    <x:row r="65" ht="22" customHeight="1">
      <x:c r="A65" s="427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 t="s">
        <x:v>97</x:v>
      </x:c>
      <x:c r="O65" s="416">
        <x:v>239000</x:v>
      </x:c>
    </x:row>
    <x:row r="66" ht="22" customHeight="1">
      <x:c r="A66" s="426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 t="s">
        <x:v>98</x:v>
      </x:c>
      <x:c r="O66" s="384">
        <x:v>1073500</x:v>
      </x:c>
    </x:row>
    <x:row r="67" ht="22" customHeight="1">
      <x:c r="A67" s="427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 t="s">
        <x:v>99</x:v>
      </x:c>
      <x:c r="O67" s="416">
        <x:v>1073500</x:v>
      </x:c>
    </x:row>
    <x:row r="68" ht="22" customHeight="1">
      <x:c r="A68" s="426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 t="s">
        <x:v>100</x:v>
      </x:c>
      <x:c r="O68" s="384">
        <x:v>189000</x:v>
      </x:c>
    </x:row>
    <x:row r="69" ht="22" customHeight="1">
      <x:c r="A69" s="427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 t="s">
        <x:v>101</x:v>
      </x:c>
      <x:c r="O69" s="416">
        <x:v>1388000</x:v>
      </x:c>
    </x:row>
    <x:row r="70" ht="22" customHeight="1">
      <x:c r="A70" s="426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 t="s">
        <x:v>102</x:v>
      </x:c>
      <x:c r="O70" s="384">
        <x:v>1100000</x:v>
      </x:c>
    </x:row>
    <x:row r="71" ht="22" customHeight="1">
      <x:c r="A71" s="427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 t="s">
        <x:v>103</x:v>
      </x:c>
      <x:c r="O71" s="416">
        <x:v>382000</x:v>
      </x:c>
    </x:row>
    <x:row r="72" ht="22" customHeight="1">
      <x:c r="A72" s="426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 t="s">
        <x:v>104</x:v>
      </x:c>
      <x:c r="O72" s="384">
        <x:v>239000</x:v>
      </x:c>
    </x:row>
    <x:row r="73" ht="22" customHeight="1">
      <x:c r="A73" s="427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 t="s">
        <x:v>105</x:v>
      </x:c>
      <x:c r="O73" s="416">
        <x:v>410000</x:v>
      </x:c>
    </x:row>
    <x:row r="74" ht="22" customHeight="1">
      <x:c r="A74" s="426"/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 t="s">
        <x:v>106</x:v>
      </x:c>
      <x:c r="O74" s="384">
        <x:v>596500</x:v>
      </x:c>
    </x:row>
    <x:row r="75" ht="22" customHeight="1">
      <x:c r="A75" s="427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 t="s">
        <x:v>107</x:v>
      </x:c>
      <x:c r="O75" s="416">
        <x:v>304000</x:v>
      </x:c>
    </x:row>
    <x:row r="76" ht="22" customHeight="1">
      <x:c r="A76" s="426"/>
      <x:c r="B76" s="383"/>
      <x:c r="C76" s="383"/>
      <x:c r="D76" s="383"/>
      <x:c r="E76" s="383"/>
      <x:c r="F76" s="383"/>
      <x:c r="G76" s="383"/>
      <x:c r="H76" s="383"/>
      <x:c r="I76" s="383"/>
      <x:c r="J76" s="383"/>
      <x:c r="K76" s="383"/>
      <x:c r="L76" s="383"/>
      <x:c r="M76" s="383"/>
      <x:c r="N76" s="383" t="s">
        <x:v>108</x:v>
      </x:c>
      <x:c r="O76" s="384">
        <x:v>120000</x:v>
      </x:c>
    </x:row>
    <x:row r="77" ht="22" customHeight="1">
      <x:c r="A77" s="427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 t="s">
        <x:v>109</x:v>
      </x:c>
      <x:c r="O77" s="416">
        <x:v>1250000</x:v>
      </x:c>
    </x:row>
    <x:row r="78" ht="22" customHeight="1">
      <x:c r="A78" s="426"/>
      <x:c r="B78" s="383"/>
      <x:c r="C78" s="383"/>
      <x:c r="D78" s="383"/>
      <x:c r="E78" s="383"/>
      <x:c r="F78" s="383"/>
      <x:c r="G78" s="383"/>
      <x:c r="H78" s="383"/>
      <x:c r="I78" s="383"/>
      <x:c r="J78" s="383"/>
      <x:c r="K78" s="383"/>
      <x:c r="L78" s="383"/>
      <x:c r="M78" s="383"/>
      <x:c r="N78" s="383" t="s">
        <x:v>110</x:v>
      </x:c>
      <x:c r="O78" s="384">
        <x:v>116500</x:v>
      </x:c>
    </x:row>
    <x:row r="79" ht="22" customHeight="1">
      <x:c r="A79" s="427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 t="s">
        <x:v>111</x:v>
      </x:c>
      <x:c r="O79" s="416">
        <x:v>3456500</x:v>
      </x:c>
    </x:row>
    <x:row r="80" ht="22" customHeight="1">
      <x:c r="A80" s="426"/>
      <x:c r="B80" s="383"/>
      <x:c r="C80" s="383"/>
      <x:c r="D80" s="383"/>
      <x:c r="E80" s="383"/>
      <x:c r="F80" s="383"/>
      <x:c r="G80" s="383"/>
      <x:c r="H80" s="383"/>
      <x:c r="I80" s="383"/>
      <x:c r="J80" s="383"/>
      <x:c r="K80" s="383"/>
      <x:c r="L80" s="383"/>
      <x:c r="M80" s="383"/>
      <x:c r="N80" s="383" t="s">
        <x:v>112</x:v>
      </x:c>
      <x:c r="O80" s="384">
        <x:v>988500</x:v>
      </x:c>
    </x:row>
    <x:row r="81" ht="22" customHeight="1">
      <x:c r="A81" s="427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 t="s">
        <x:v>113</x:v>
      </x:c>
      <x:c r="O81" s="416">
        <x:v>577000</x:v>
      </x:c>
    </x:row>
    <x:row r="82" ht="22" customHeight="1">
      <x:c r="A82" s="426"/>
      <x:c r="B82" s="383"/>
      <x:c r="C82" s="383"/>
      <x:c r="D82" s="383"/>
      <x:c r="E82" s="383"/>
      <x:c r="F82" s="383"/>
      <x:c r="G82" s="383"/>
      <x:c r="H82" s="383"/>
      <x:c r="I82" s="383"/>
      <x:c r="J82" s="383"/>
      <x:c r="K82" s="383"/>
      <x:c r="L82" s="383"/>
      <x:c r="M82" s="383"/>
      <x:c r="N82" s="383" t="s">
        <x:v>114</x:v>
      </x:c>
      <x:c r="O82" s="384">
        <x:v>2133500</x:v>
      </x:c>
    </x:row>
    <x:row r="83" ht="22" customHeight="1">
      <x:c r="A83" s="427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 t="s">
        <x:v>115</x:v>
      </x:c>
      <x:c r="O83" s="416">
        <x:v>1353500</x:v>
      </x:c>
    </x:row>
    <x:row r="84" ht="22" customHeight="1">
      <x:c r="A84" s="426"/>
      <x:c r="B84" s="383"/>
      <x:c r="C84" s="383"/>
      <x:c r="D84" s="383"/>
      <x:c r="E84" s="383"/>
      <x:c r="F84" s="383"/>
      <x:c r="G84" s="383"/>
      <x:c r="H84" s="383"/>
      <x:c r="I84" s="383"/>
      <x:c r="J84" s="383"/>
      <x:c r="K84" s="383"/>
      <x:c r="L84" s="383"/>
      <x:c r="M84" s="383"/>
      <x:c r="N84" s="383" t="s">
        <x:v>116</x:v>
      </x:c>
      <x:c r="O84" s="384">
        <x:v>40500</x:v>
      </x:c>
    </x:row>
    <x:row r="85" ht="22" customHeight="1">
      <x:c r="A85" s="427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 t="s">
        <x:v>117</x:v>
      </x:c>
      <x:c r="O85" s="416">
        <x:v>846500</x:v>
      </x:c>
    </x:row>
    <x:row r="86" ht="22" customHeight="1">
      <x:c r="A86" s="426"/>
      <x:c r="B86" s="383"/>
      <x:c r="C86" s="383"/>
      <x:c r="D86" s="383"/>
      <x:c r="E86" s="383"/>
      <x:c r="F86" s="383"/>
      <x:c r="G86" s="383"/>
      <x:c r="H86" s="383"/>
      <x:c r="I86" s="383"/>
      <x:c r="J86" s="383"/>
      <x:c r="K86" s="383"/>
      <x:c r="L86" s="383"/>
      <x:c r="M86" s="383"/>
      <x:c r="N86" s="383" t="s">
        <x:v>118</x:v>
      </x:c>
      <x:c r="O86" s="384">
        <x:v>94500</x:v>
      </x:c>
    </x:row>
    <x:row r="87" ht="22" customHeight="1">
      <x:c r="A87" s="427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 t="s">
        <x:v>119</x:v>
      </x:c>
      <x:c r="O87" s="416">
        <x:v>175500</x:v>
      </x:c>
    </x:row>
    <x:row r="88" ht="22" customHeight="1">
      <x:c r="A88" s="426"/>
      <x:c r="B88" s="383"/>
      <x:c r="C88" s="383"/>
      <x:c r="D88" s="383"/>
      <x:c r="E88" s="383"/>
      <x:c r="F88" s="383"/>
      <x:c r="G88" s="383"/>
      <x:c r="H88" s="383"/>
      <x:c r="I88" s="383"/>
      <x:c r="J88" s="383"/>
      <x:c r="K88" s="383"/>
      <x:c r="L88" s="383"/>
      <x:c r="M88" s="383"/>
      <x:c r="N88" s="383" t="s">
        <x:v>120</x:v>
      </x:c>
      <x:c r="O88" s="384">
        <x:v>385000</x:v>
      </x:c>
    </x:row>
    <x:row r="89" ht="22" customHeight="1">
      <x:c r="A89" s="427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 t="s">
        <x:v>121</x:v>
      </x:c>
      <x:c r="O89" s="416">
        <x:v>140000</x:v>
      </x:c>
    </x:row>
    <x:row r="90" ht="22" customHeight="1">
      <x:c r="A90" s="426"/>
      <x:c r="B90" s="383"/>
      <x:c r="C90" s="383"/>
      <x:c r="D90" s="383"/>
      <x:c r="E90" s="383"/>
      <x:c r="F90" s="383"/>
      <x:c r="G90" s="383"/>
      <x:c r="H90" s="383"/>
      <x:c r="I90" s="383"/>
      <x:c r="J90" s="383"/>
      <x:c r="K90" s="383"/>
      <x:c r="L90" s="383"/>
      <x:c r="M90" s="383"/>
      <x:c r="N90" s="383" t="s">
        <x:v>122</x:v>
      </x:c>
      <x:c r="O90" s="384">
        <x:v>82500</x:v>
      </x:c>
    </x:row>
    <x:row r="91" ht="22" customHeight="1">
      <x:c r="A91" s="427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 t="s">
        <x:v>123</x:v>
      </x:c>
      <x:c r="O91" s="416">
        <x:v>1350000</x:v>
      </x:c>
    </x:row>
    <x:row r="92" ht="22" customHeight="1">
      <x:c r="A92" s="426"/>
      <x:c r="B92" s="383"/>
      <x:c r="C92" s="383"/>
      <x:c r="D92" s="383"/>
      <x:c r="E92" s="383"/>
      <x:c r="F92" s="383"/>
      <x:c r="G92" s="383"/>
      <x:c r="H92" s="383"/>
      <x:c r="I92" s="383"/>
      <x:c r="J92" s="383"/>
      <x:c r="K92" s="383"/>
      <x:c r="L92" s="383"/>
      <x:c r="M92" s="383"/>
      <x:c r="N92" s="383" t="s">
        <x:v>124</x:v>
      </x:c>
      <x:c r="O92" s="384">
        <x:v>2700000</x:v>
      </x:c>
    </x:row>
    <x:row r="93" ht="22" customHeight="1">
      <x:c r="A93" s="427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 t="s">
        <x:v>125</x:v>
      </x:c>
      <x:c r="O93" s="416">
        <x:v>1710000</x:v>
      </x:c>
    </x:row>
    <x:row r="94" ht="22" customHeight="1">
      <x:c r="A94" s="426"/>
      <x:c r="B94" s="383"/>
      <x:c r="C94" s="383"/>
      <x:c r="D94" s="383"/>
      <x:c r="E94" s="383"/>
      <x:c r="F94" s="383"/>
      <x:c r="G94" s="383"/>
      <x:c r="H94" s="383"/>
      <x:c r="I94" s="383"/>
      <x:c r="J94" s="383"/>
      <x:c r="K94" s="383"/>
      <x:c r="L94" s="383"/>
      <x:c r="M94" s="383"/>
      <x:c r="N94" s="383" t="s">
        <x:v>126</x:v>
      </x:c>
      <x:c r="O94" s="384">
        <x:v>867000</x:v>
      </x:c>
    </x:row>
    <x:row r="95" ht="22" customHeight="1">
      <x:c r="A95" s="427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 t="s">
        <x:v>127</x:v>
      </x:c>
      <x:c r="O95" s="416">
        <x:v>1894000</x:v>
      </x:c>
    </x:row>
    <x:row r="96" ht="22" customHeight="1">
      <x:c r="A96" s="426"/>
      <x:c r="B96" s="383"/>
      <x:c r="C96" s="383"/>
      <x:c r="D96" s="383"/>
      <x:c r="E96" s="383"/>
      <x:c r="F96" s="383"/>
      <x:c r="G96" s="383"/>
      <x:c r="H96" s="383"/>
      <x:c r="I96" s="383"/>
      <x:c r="J96" s="383"/>
      <x:c r="K96" s="383"/>
      <x:c r="L96" s="383"/>
      <x:c r="M96" s="383"/>
      <x:c r="N96" s="383" t="s">
        <x:v>128</x:v>
      </x:c>
      <x:c r="O96" s="384">
        <x:v>1040000</x:v>
      </x:c>
    </x:row>
    <x:row r="97" ht="22" customHeight="1">
      <x:c r="A97" s="428"/>
      <x:c r="B97" s="419"/>
      <x:c r="C97" s="419"/>
      <x:c r="D97" s="419"/>
      <x:c r="E97" s="419"/>
      <x:c r="F97" s="419"/>
      <x:c r="G97" s="419"/>
      <x:c r="H97" s="419"/>
      <x:c r="I97" s="419"/>
      <x:c r="J97" s="419"/>
      <x:c r="K97" s="419"/>
      <x:c r="L97" s="419"/>
      <x:c r="M97" s="419"/>
      <x:c r="N97" s="419" t="s">
        <x:v>129</x:v>
      </x:c>
      <x:c r="O97" s="420">
        <x:v>957000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63.7109375" defaultRowHeight="31.5"/>
  <x:cols>
    <x:col min="1" max="16384" width="63.7109375" style="84" customWidth="0"/>
    <x:col min="1" max="1" width="16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</x:cols>
  <x:sheetData>
    <x:row r="1" ht="22" hidden="1" customHeight="1">
      <x:c r="A1" s="514" t="str">
        <x:v>YORDAMCHI HISOB-KITOBLAR · Tezkor operatsion</x:v>
      </x:c>
      <x:c r="B1" s="514"/>
      <x:c r="C1" s="514"/>
      <x:c r="D1" s="514"/>
      <x:c r="E1" s="514"/>
      <x:c r="F1" s="514"/>
      <x:c r="G1" s="514"/>
      <x:c r="H1" s="514"/>
      <x:c r="I1" s="486"/>
      <x:c r="J1" s="486"/>
      <x:c r="K1" s="486"/>
      <x:c r="L1" s="486"/>
      <x:c r="M1" s="486"/>
      <x:c r="N1" s="486"/>
      <x:c r="O1" s="486"/>
      <x:c r="P1" s="486"/>
      <x:c r="Q1" s="486"/>
      <x:c r="R1" s="486"/>
      <x:c r="S1" s="486"/>
      <x:c r="T1" s="486"/>
      <x:c r="U1" s="486"/>
      <x:c r="V1" s="486"/>
      <x:c r="W1" s="486"/>
      <x:c r="X1" s="486"/>
      <x:c r="Y1" s="486"/>
      <x:c r="Z1" s="486"/>
      <x:c r="AA1" s="486"/>
      <x:c r="AB1" s="486"/>
      <x:c r="AC1" s="486"/>
      <x:c r="AD1" s="486"/>
      <x:c r="AE1" s="486"/>
      <x:c r="AF1" s="486"/>
      <x:c r="AG1" s="486"/>
      <x:c r="AH1" s="486"/>
      <x:c r="AI1" s="486"/>
      <x:c r="AJ1" s="486"/>
      <x:c r="AK1" s="486"/>
      <x:c r="AL1" s="486"/>
      <x:c r="AM1" s="486"/>
      <x:c r="AN1" s="487" t="s">
        <x:v>130</x:v>
      </x:c>
      <x:c r="AO1" s="486"/>
      <x:c r="AP1" s="486"/>
      <x:c r="AQ1" s="486"/>
      <x:c r="AR1" s="486"/>
      <x:c r="AS1" s="486"/>
      <x:c r="AT1" s="486"/>
      <x:c r="AU1" s="486"/>
      <x:c r="AV1" s="486"/>
      <x:c r="AW1" s="486"/>
      <x:c r="AX1" s="486"/>
      <x:c r="AY1" s="486"/>
      <x:c r="AZ1" s="486"/>
      <x:c r="BA1" s="486"/>
      <x:c r="BB1" s="486"/>
      <x:c r="BC1" s="486"/>
      <x:c r="BD1" s="486"/>
      <x:c r="BE1" s="486"/>
      <x:c r="BF1" s="486"/>
      <x:c r="BG1" s="486"/>
      <x:c r="BH1" s="486"/>
      <x:c r="BI1" s="486"/>
      <x:c r="BJ1" s="486"/>
      <x:c r="BK1" s="486"/>
      <x:c r="BL1" s="486"/>
      <x:c r="BM1" s="486"/>
      <x:c r="BN1" s="486"/>
      <x:c r="BO1" s="486"/>
      <x:c r="BP1" s="486"/>
      <x:c r="BQ1" s="486"/>
      <x:c r="BR1" s="486"/>
      <x:c r="BS1" s="486"/>
      <x:c r="BT1" s="486"/>
      <x:c r="BU1" s="486"/>
      <x:c r="BV1" s="486"/>
      <x:c r="BW1" s="486"/>
      <x:c r="BX1" s="486"/>
      <x:c r="BY1" s="486"/>
      <x:c r="BZ1" s="486"/>
      <x:c r="CA1" s="486"/>
      <x:c r="CB1" s="486"/>
      <x:c r="CC1" s="486"/>
      <x:c r="CD1" s="486"/>
      <x:c r="CE1" s="486"/>
      <x:c r="CF1" s="486"/>
      <x:c r="CG1" s="486"/>
      <x:c r="CH1" s="486"/>
      <x:c r="CI1" s="486"/>
      <x:c r="CJ1" s="486"/>
      <x:c r="CK1" s="486"/>
      <x:c r="CL1" s="486"/>
      <x:c r="CM1" s="486"/>
      <x:c r="CN1" s="486"/>
      <x:c r="CO1" s="486"/>
      <x:c r="CP1" s="486"/>
      <x:c r="CQ1" s="486"/>
      <x:c r="CR1" s="486"/>
      <x:c r="CS1" s="486"/>
      <x:c r="CT1" s="486"/>
      <x:c r="CU1" s="486"/>
      <x:c r="CV1" s="486"/>
      <x:c r="CW1" s="486"/>
      <x:c r="CX1" s="486"/>
      <x:c r="CY1" s="486"/>
      <x:c r="CZ1" s="486"/>
      <x:c r="DA1" s="486"/>
      <x:c r="DB1" s="486"/>
      <x:c r="DC1" s="486"/>
      <x:c r="DD1" s="486"/>
      <x:c r="DE1" s="486"/>
      <x:c r="DF1" s="486"/>
      <x:c r="DG1" s="486"/>
      <x:c r="DH1" s="486"/>
      <x:c r="DI1" s="486"/>
      <x:c r="DJ1" s="486"/>
      <x:c r="DK1" s="486"/>
      <x:c r="DL1" s="486"/>
      <x:c r="DM1" s="486"/>
      <x:c r="DN1" s="486"/>
      <x:c r="DO1" s="486"/>
      <x:c r="DP1" s="486"/>
      <x:c r="DQ1" s="486"/>
      <x:c r="DR1" s="486"/>
      <x:c r="DS1" s="486"/>
      <x:c r="DT1" s="486"/>
      <x:c r="DU1" s="486"/>
      <x:c r="DV1" s="486"/>
      <x:c r="DW1" s="486"/>
      <x:c r="DX1" s="486"/>
      <x:c r="DY1" s="486"/>
      <x:c r="DZ1" s="486"/>
      <x:c r="EA1" s="486"/>
      <x:c r="EB1" s="486"/>
      <x:c r="EC1" s="486"/>
      <x:c r="ED1" s="486"/>
      <x:c r="EE1" s="486"/>
      <x:c r="EF1" s="486"/>
      <x:c r="EG1" s="486"/>
      <x:c r="EH1" s="486"/>
      <x:c r="EI1" s="486"/>
      <x:c r="EJ1" s="486"/>
      <x:c r="EK1" s="486"/>
      <x:c r="EL1" s="486"/>
      <x:c r="EM1" s="486"/>
      <x:c r="EN1" s="486"/>
      <x:c r="EO1" s="486"/>
      <x:c r="EP1" s="486"/>
      <x:c r="EQ1" s="486"/>
      <x:c r="ER1" s="486"/>
      <x:c r="ES1" s="486"/>
      <x:c r="ET1" s="486"/>
      <x:c r="EU1" s="486"/>
    </x:row>
    <x:row r="2" ht="22" hidden="1" customHeight="1">
      <x:c r="A2" s="515"/>
      <x:c r="B2" s="516" t="str">
        <x:f>B8&amp;B5&amp;B3&amp;B4&amp;B10</x:f>
        <x:v>7ИТОГО Сумма Количество77</x:v>
      </x:c>
      <x:c r="C2" s="516" t="str">
        <x:f t="shared" ref="C2:BN2" si="0">C8&amp;C5&amp;C3&amp;C4&amp;C10</x:f>
        <x:v>MAMA7MAMA77</x:v>
      </x:c>
      <x:c r="D2" s="516" t="str">
        <x:f t="shared" si="0"/>
        <x:v>ИТОГО Сумма КоличествоMAMAДа</x:v>
      </x:c>
      <x:c r="E2" s="516" t="str">
        <x:f t="shared" si="0"/>
        <x:v>ИТОГО Сумма КоличествоMAMAДаDRY (Qo'ltiq qistirma)</x:v>
      </x:c>
      <x:c r="F2" s="516" t="str">
        <x:f t="shared" si="0"/>
        <x:v>ИТОГО Сумма КоличествоMAMAДаEjednevka</x:v>
      </x:c>
      <x:c r="G2" s="516" t="str">
        <x:f t="shared" si="0"/>
        <x:v>ИТОГО Сумма КоличествоMAMAДаGrudnoy</x:v>
      </x:c>
      <x:c r="H2" s="516" t="str">
        <x:f t="shared" si="0"/>
        <x:v>ИТОГО Сумма КоличествоMAMAДаKattalar tagligi (mini)</x:v>
      </x:c>
      <x:c r="I2" s="489" t="str">
        <x:f t="shared" si="0"/>
        <x:v>ИТОГО Сумма КоличествоMAMAДаMaska</x:v>
      </x:c>
      <x:c r="J2" s="489" t="str">
        <x:f t="shared" si="0"/>
        <x:v>ИТОГО Сумма КоличествоMAMAДаPaket</x:v>
      </x:c>
      <x:c r="K2" s="489" t="str">
        <x:f t="shared" si="0"/>
        <x:v>ИТОГО Сумма КоличествоMAMAДаPolka</x:v>
      </x:c>
      <x:c r="L2" s="489" t="str">
        <x:f t="shared" si="0"/>
        <x:v>ИТОГО Сумма КоличествоMAMAДаPoslerodovoy</x:v>
      </x:c>
      <x:c r="M2" s="489" t="str">
        <x:f t="shared" si="0"/>
        <x:v>ИТОГО Сумма КоличествоMAMAДаProkladki</x:v>
      </x:c>
      <x:c r="N2" s="489" t="str">
        <x:f t="shared" si="0"/>
        <x:v>ИТОГО Сумма КоличествоMAMAДаReverem (banochniy)</x:v>
      </x:c>
      <x:c r="O2" s="489" t="str">
        <x:f t="shared" si="0"/>
        <x:v>ИТОГО Сумма КоличествоMAMAДаYoyoki lipuchka</x:v>
      </x:c>
      <x:c r="P2" s="489" t="str">
        <x:f t="shared" si="0"/>
        <x:v>ИТОГО Сумма КоличествоMAMAДаYoyoki trusik</x:v>
      </x:c>
      <x:c r="Q2" s="489" t="str">
        <x:f t="shared" si="0"/>
        <x:v>ИТОГО Сумма КоличествоMAMAНет</x:v>
      </x:c>
      <x:c r="R2" s="489" t="str">
        <x:f t="shared" si="0"/>
        <x:v>ИТОГО Сумма КоличествоMAMAНетDRY (Qo'ltiq qistirma)</x:v>
      </x:c>
      <x:c r="S2" s="489" t="str">
        <x:f t="shared" si="0"/>
        <x:v>ИТОГО Сумма КоличествоMAMAНетEjednevka</x:v>
      </x:c>
      <x:c r="T2" s="489" t="str">
        <x:f t="shared" si="0"/>
        <x:v>ИТОГО Сумма КоличествоMAMAНетGrudnoy</x:v>
      </x:c>
      <x:c r="U2" s="489" t="str">
        <x:f t="shared" si="0"/>
        <x:v>ИТОГО Сумма КоличествоMAMAНетKattalar tagligi (mini)</x:v>
      </x:c>
      <x:c r="V2" s="489" t="str">
        <x:f t="shared" si="0"/>
        <x:v>ИТОГО Сумма КоличествоMAMAНетMaska</x:v>
      </x:c>
      <x:c r="W2" s="489" t="str">
        <x:f t="shared" si="0"/>
        <x:v>ИТОГО Сумма КоличествоMAMAНетPolka</x:v>
      </x:c>
      <x:c r="X2" s="489" t="str">
        <x:f t="shared" si="0"/>
        <x:v>ИТОГО Сумма КоличествоMAMAНетPoslerodovoy</x:v>
      </x:c>
      <x:c r="Y2" s="489" t="str">
        <x:f t="shared" si="0"/>
        <x:v>ИТОГО Сумма КоличествоMAMAНетProkladki</x:v>
      </x:c>
      <x:c r="Z2" s="489" t="str">
        <x:f t="shared" si="0"/>
        <x:v>ИТОГО Сумма КоличествоMAMAНетReverem (banochniy)</x:v>
      </x:c>
      <x:c r="AA2" s="489" t="str">
        <x:f t="shared" si="0"/>
        <x:v>ИТОГО Сумма КоличествоMAMAНетRoddom sovg'a</x:v>
      </x:c>
      <x:c r="AB2" s="489" t="str">
        <x:f t="shared" si="0"/>
        <x:v>ИТОГО Сумма КоличествоMAMAНетYoyoki lipuchka</x:v>
      </x:c>
      <x:c r="AC2" s="489" t="str">
        <x:f t="shared" si="0"/>
        <x:v>ИТОГО Сумма КоличествоMAMAНетYoyoki trusik</x:v>
      </x:c>
      <x:c r="AD2" s="489" t="str">
        <x:f t="shared" si="0"/>
        <x:v>SOFИТОГО Сумма КоличествоSOFНет</x:v>
      </x:c>
      <x:c r="AE2" s="489" t="str">
        <x:f t="shared" si="0"/>
        <x:v>ИТОГО Сумма КоличествоSOFДа</x:v>
      </x:c>
      <x:c r="AF2" s="489" t="str">
        <x:f t="shared" si="0"/>
        <x:v>ИТОГО Сумма КоличествоSOFДаGrudnoy</x:v>
      </x:c>
      <x:c r="AG2" s="489" t="str">
        <x:f t="shared" si="0"/>
        <x:v>ИТОГО Сумма КоличествоSOFДаKattalar tagligi (max)</x:v>
      </x:c>
      <x:c r="AH2" s="489" t="str">
        <x:f t="shared" si="0"/>
        <x:v>ИТОГО Сумма КоличествоSOFДаLalaku Devochka</x:v>
      </x:c>
      <x:c r="AI2" s="489" t="str">
        <x:f t="shared" si="0"/>
        <x:v>ИТОГО Сумма КоличествоSOFДаLalaku Malchik</x:v>
      </x:c>
      <x:c r="AJ2" s="489" t="str">
        <x:f t="shared" si="0"/>
        <x:v>ИТОГО Сумма КоличествоSOFДаMaska</x:v>
      </x:c>
      <x:c r="AK2" s="489" t="str">
        <x:f t="shared" si="0"/>
        <x:v>ИТОГО Сумма КоличествоSOFДаPaket</x:v>
      </x:c>
      <x:c r="AL2" s="489" t="str">
        <x:f t="shared" si="0"/>
        <x:v>ИТОГО Сумма КоличествоSOFДаPolka</x:v>
      </x:c>
      <x:c r="AM2" s="489" t="str">
        <x:f t="shared" si="0"/>
        <x:v>ИТОГО Сумма КоличествоSOFДаPoslerodovoy</x:v>
      </x:c>
      <x:c r="AN2" s="489" t="str">
        <x:f t="shared" si="0"/>
        <x:v>ИТОГО Сумма КоличествоSOFДаProkladki</x:v>
      </x:c>
      <x:c r="AO2" s="489" t="str">
        <x:f t="shared" si="0"/>
        <x:v>ИТОГО Сумма КоличествоSOFДаReverem (banochniy)</x:v>
      </x:c>
      <x:c r="AP2" s="489" t="str">
        <x:f t="shared" si="0"/>
        <x:v>ИТОГО Сумма КоличествоSOFДаRoddom sovg'a</x:v>
      </x:c>
      <x:c r="AQ2" s="489" t="str">
        <x:f t="shared" si="0"/>
        <x:v>ИТОГО Сумма КоличествоSOFДаSOF</x:v>
      </x:c>
      <x:c r="AR2" s="489" t="str">
        <x:f t="shared" si="0"/>
        <x:v>ИТОГО Сумма КоличествоSOFДаSof trusik</x:v>
      </x:c>
      <x:c r="AS2" s="489" t="str">
        <x:f t="shared" si="0"/>
        <x:v>ИТОГО Сумма КоличествоSOFНет</x:v>
      </x:c>
      <x:c r="AT2" s="489" t="str">
        <x:f t="shared" si="0"/>
        <x:v>ИТОГО Сумма КоличествоSOFНетGrudnoy</x:v>
      </x:c>
      <x:c r="AU2" s="489" t="str">
        <x:f t="shared" si="0"/>
        <x:v>ИТОГО Сумма КоличествоSOFНетKattalar tagligi (max)</x:v>
      </x:c>
      <x:c r="AV2" s="489" t="str">
        <x:f t="shared" si="0"/>
        <x:v>ИТОГО Сумма КоличествоSOFНетLalaku Devochka</x:v>
      </x:c>
      <x:c r="AW2" s="489" t="str">
        <x:f t="shared" si="0"/>
        <x:v>ИТОГО Сумма КоличествоSOFНетLalaku Malchik</x:v>
      </x:c>
      <x:c r="AX2" s="489" t="str">
        <x:f t="shared" si="0"/>
        <x:v>ИТОГО Сумма КоличествоSOFНетMaska</x:v>
      </x:c>
      <x:c r="AY2" s="489" t="str">
        <x:f t="shared" si="0"/>
        <x:v>ИТОГО Сумма КоличествоSOFНетPaket</x:v>
      </x:c>
      <x:c r="AZ2" s="489" t="str">
        <x:f t="shared" si="0"/>
        <x:v>ИТОГО Сумма КоличествоSOFНетPoslerodovoy</x:v>
      </x:c>
      <x:c r="BA2" s="489" t="str">
        <x:f t="shared" si="0"/>
        <x:v>ИТОГО Сумма КоличествоSOFНетProkladki</x:v>
      </x:c>
      <x:c r="BB2" s="489" t="str">
        <x:f t="shared" si="0"/>
        <x:v>ИТОГО Сумма КоличествоSOFНетReverem (banochniy)</x:v>
      </x:c>
      <x:c r="BC2" s="489" t="str">
        <x:f t="shared" si="0"/>
        <x:v>ИТОГО Сумма КоличествоSOFНетSOF</x:v>
      </x:c>
      <x:c r="BD2" s="489" t="str">
        <x:f t="shared" si="0"/>
        <x:v>ИТОГО Сумма КоличествоSOFНетSof trusik</x:v>
      </x:c>
      <x:c r="BE2" s="489" t="str">
        <x:f t="shared" si="0"/>
        <x:v>ИТОГО Сумма СуммаSOFНет</x:v>
      </x:c>
      <x:c r="BF2" s="489" t="str">
        <x:f t="shared" si="0"/>
        <x:v>MAMAИТОГО Сумма СуммаMAMAНет</x:v>
      </x:c>
      <x:c r="BG2" s="489" t="str">
        <x:f t="shared" si="0"/>
        <x:v>ИТОГО Сумма СуммаMAMAДа</x:v>
      </x:c>
      <x:c r="BH2" s="489" t="str">
        <x:f t="shared" si="0"/>
        <x:v>ИТОГО Сумма СуммаMAMAДаDRY (Qo'ltiq qistirma)</x:v>
      </x:c>
      <x:c r="BI2" s="489" t="str">
        <x:f t="shared" si="0"/>
        <x:v>ИТОГО Сумма СуммаMAMAДаEjednevka</x:v>
      </x:c>
      <x:c r="BJ2" s="489" t="str">
        <x:f t="shared" si="0"/>
        <x:v>ИТОГО Сумма СуммаMAMAДаGrudnoy</x:v>
      </x:c>
      <x:c r="BK2" s="489" t="str">
        <x:f t="shared" si="0"/>
        <x:v>ИТОГО Сумма СуммаMAMAДаKattalar tagligi (mini)</x:v>
      </x:c>
      <x:c r="BL2" s="489" t="str">
        <x:f t="shared" si="0"/>
        <x:v>ИТОГО Сумма СуммаMAMAДаMaska</x:v>
      </x:c>
      <x:c r="BM2" s="489" t="str">
        <x:f t="shared" si="0"/>
        <x:v>ИТОГО Сумма СуммаMAMAДаPaket</x:v>
      </x:c>
      <x:c r="BN2" s="489" t="str">
        <x:f t="shared" si="0"/>
        <x:v>ИТОГО Сумма СуммаMAMAДаPolka</x:v>
      </x:c>
      <x:c r="BO2" s="489" t="str">
        <x:f t="shared" ref="BO2:DZ2" si="1">BO8&amp;BO5&amp;BO3&amp;BO4&amp;BO10</x:f>
        <x:v>7ИТОГО Сумма СуммаMAMA7Poslerodovoy</x:v>
      </x:c>
      <x:c r="BP2" s="489" t="str">
        <x:f t="shared" si="1"/>
        <x:v>ИТОГО Сумма СуммаMAMAДаProkladki</x:v>
      </x:c>
      <x:c r="BQ2" s="489" t="str">
        <x:f t="shared" si="1"/>
        <x:v>ИТОГО Сумма СуммаMAMAДаReverem (banochniy)</x:v>
      </x:c>
      <x:c r="BR2" s="489" t="str">
        <x:f t="shared" si="1"/>
        <x:v>ИТОГО Сумма СуммаMAMAДаYoyoki lipuchka</x:v>
      </x:c>
      <x:c r="BS2" s="489" t="str">
        <x:f t="shared" si="1"/>
        <x:v>ИТОГО Сумма СуммаMAMAДаYoyoki trusik</x:v>
      </x:c>
      <x:c r="BT2" s="489" t="str">
        <x:f t="shared" si="1"/>
        <x:v>ИТОГО Сумма СуммаMAMAНет</x:v>
      </x:c>
      <x:c r="BU2" s="489" t="str">
        <x:f t="shared" si="1"/>
        <x:v>ИТОГО Сумма СуммаMAMAНетDRY (Qo'ltiq qistirma)</x:v>
      </x:c>
      <x:c r="BV2" s="489" t="str">
        <x:f t="shared" si="1"/>
        <x:v>ИТОГО Сумма СуммаMAMAНетEjednevka</x:v>
      </x:c>
      <x:c r="BW2" s="489" t="str">
        <x:f t="shared" si="1"/>
        <x:v>ИТОГО Сумма СуммаMAMAНетGrudnoy</x:v>
      </x:c>
      <x:c r="BX2" s="489" t="str">
        <x:f t="shared" si="1"/>
        <x:v>ИТОГО Сумма СуммаMAMAНетKattalar tagligi (mini)</x:v>
      </x:c>
      <x:c r="BY2" s="489" t="str">
        <x:f t="shared" si="1"/>
        <x:v>ИТОГО Сумма СуммаMAMAНетMaska</x:v>
      </x:c>
      <x:c r="BZ2" s="489" t="str">
        <x:f t="shared" si="1"/>
        <x:v>ИТОГО Сумма СуммаMAMAНетPolka</x:v>
      </x:c>
      <x:c r="CA2" s="489" t="str">
        <x:f t="shared" si="1"/>
        <x:v>ИТОГО Сумма СуммаMAMAНетPoslerodovoy</x:v>
      </x:c>
      <x:c r="CB2" s="489" t="str">
        <x:f t="shared" si="1"/>
        <x:v>ИТОГО Сумма СуммаMAMAНетProkladki</x:v>
      </x:c>
      <x:c r="CC2" s="489" t="str">
        <x:f t="shared" si="1"/>
        <x:v>ИТОГО Сумма СуммаMAMAНетReverem (banochniy)</x:v>
      </x:c>
      <x:c r="CD2" s="489" t="str">
        <x:f t="shared" si="1"/>
        <x:v>ИТОГО Сумма СуммаMAMAНетRoddom sovg'a</x:v>
      </x:c>
      <x:c r="CE2" s="489" t="str">
        <x:f t="shared" si="1"/>
        <x:v>ИТОГО Сумма СуммаMAMAНетYoyoki lipuchka</x:v>
      </x:c>
      <x:c r="CF2" s="489" t="str">
        <x:f t="shared" si="1"/>
        <x:v>ИТОГО Сумма СуммаMAMAНетYoyoki trusik</x:v>
      </x:c>
      <x:c r="CG2" s="489" t="str">
        <x:f t="shared" si="1"/>
        <x:v>SOFИТОГО Сумма СуммаSOFНет</x:v>
      </x:c>
      <x:c r="CH2" s="489" t="str">
        <x:f t="shared" si="1"/>
        <x:v>ИТОГО Сумма СуммаSOFДа</x:v>
      </x:c>
      <x:c r="CI2" s="489" t="str">
        <x:f t="shared" si="1"/>
        <x:v>ИТОГО Сумма СуммаSOFДаGrudnoy</x:v>
      </x:c>
      <x:c r="CJ2" s="489" t="str">
        <x:f t="shared" si="1"/>
        <x:v>ИТОГО Сумма СуммаSOFДаKattalar tagligi (max)</x:v>
      </x:c>
      <x:c r="CK2" s="489" t="str">
        <x:f t="shared" si="1"/>
        <x:v>ИТОГО Сумма СуммаSOFДаLalaku Devochka</x:v>
      </x:c>
      <x:c r="CL2" s="489" t="str">
        <x:f t="shared" si="1"/>
        <x:v>ИТОГО Сумма СуммаSOFДаLalaku Malchik</x:v>
      </x:c>
      <x:c r="CM2" s="489" t="str">
        <x:f t="shared" si="1"/>
        <x:v>ИТОГО Сумма СуммаSOFДаMaska</x:v>
      </x:c>
      <x:c r="CN2" s="489" t="str">
        <x:f t="shared" si="1"/>
        <x:v>ИТОГО Сумма СуммаSOFДаPaket</x:v>
      </x:c>
      <x:c r="CO2" s="489" t="str">
        <x:f t="shared" si="1"/>
        <x:v>ИТОГО Сумма СуммаSOFДаPolka</x:v>
      </x:c>
      <x:c r="CP2" s="489" t="str">
        <x:f t="shared" si="1"/>
        <x:v>ИТОГО Сумма СуммаSOFДаPoslerodovoy</x:v>
      </x:c>
      <x:c r="CQ2" s="489" t="str">
        <x:f t="shared" si="1"/>
        <x:v>ИТОГО Сумма СуммаSOFДаProkladki</x:v>
      </x:c>
      <x:c r="CR2" s="489" t="str">
        <x:f t="shared" si="1"/>
        <x:v>ИТОГО Сумма СуммаSOFДаReverem (banochniy)</x:v>
      </x:c>
      <x:c r="CS2" s="489" t="str">
        <x:f t="shared" si="1"/>
        <x:v>ИТОГО Сумма СуммаSOFДаRoddom sovg'a</x:v>
      </x:c>
      <x:c r="CT2" s="489" t="str">
        <x:f t="shared" si="1"/>
        <x:v>ИТОГО Сумма СуммаSOFДаSOF</x:v>
      </x:c>
      <x:c r="CU2" s="489" t="str">
        <x:f t="shared" si="1"/>
        <x:v>ИТОГО Сумма СуммаSOFДаSof trusik</x:v>
      </x:c>
      <x:c r="CV2" s="489" t="str">
        <x:f t="shared" si="1"/>
        <x:v>ИТОГО Сумма СуммаSOFНет</x:v>
      </x:c>
      <x:c r="CW2" s="489" t="str">
        <x:f t="shared" si="1"/>
        <x:v>ИТОГО Сумма СуммаSOFНетGrudnoy</x:v>
      </x:c>
      <x:c r="CX2" s="489" t="str">
        <x:f t="shared" si="1"/>
        <x:v>ИТОГО Сумма СуммаSOFНетKattalar tagligi (max)</x:v>
      </x:c>
      <x:c r="CY2" s="489" t="str">
        <x:f t="shared" si="1"/>
        <x:v>ИТОГО Сумма СуммаSOFНетLalaku Devochka</x:v>
      </x:c>
      <x:c r="CZ2" s="489" t="str">
        <x:f t="shared" si="1"/>
        <x:v>ИТОГО Сумма СуммаSOFНетLalaku Malchik</x:v>
      </x:c>
      <x:c r="DA2" s="489" t="str">
        <x:f t="shared" si="1"/>
        <x:v>ИТОГО Сумма СуммаSOFНетMaska</x:v>
      </x:c>
      <x:c r="DB2" s="489" t="str">
        <x:f t="shared" si="1"/>
        <x:v>ИТОГО Сумма СуммаSOFНетPaket</x:v>
      </x:c>
      <x:c r="DC2" s="489" t="str">
        <x:f t="shared" si="1"/>
        <x:v>ИТОГО Сумма СуммаSOFНетPoslerodovoy</x:v>
      </x:c>
      <x:c r="DD2" s="489" t="str">
        <x:f t="shared" si="1"/>
        <x:v>ИТОГО Сумма СуммаSOFНетProkladki</x:v>
      </x:c>
      <x:c r="DE2" s="489" t="str">
        <x:f t="shared" si="1"/>
        <x:v>ИТОГО Сумма СуммаSOFНетReverem (banochniy)</x:v>
      </x:c>
      <x:c r="DF2" s="489" t="str">
        <x:f t="shared" si="1"/>
        <x:v>ИТОГО Сумма СуммаSOFНетSOF</x:v>
      </x:c>
      <x:c r="DG2" s="489" t="str">
        <x:f t="shared" si="1"/>
        <x:v>ИТОГО Сумма СуммаSOFНетSof trusik</x:v>
      </x:c>
      <x:c r="DH2" s="489" t="str">
        <x:f t="shared" si="1"/>
        <x:v>Подитоги:SOFНетИТОГО Сумма Количество</x:v>
      </x:c>
      <x:c r="DI2" s="489" t="str">
        <x:f t="shared" si="1"/>
        <x:v>Подитоги:SOFНетИТОГО Сумма Сумма</x:v>
      </x:c>
      <x:c r="DJ2" s="489" t="str">
        <x:f t="shared" si="1"/>
        <x:v>Подитоги:SOFНет</x:v>
      </x:c>
      <x:c r="DK2" s="489" t="str">
        <x:f t="shared" si="1"/>
        <x:v>Подитоги:SOFНет</x:v>
      </x:c>
      <x:c r="DL2" s="489" t="str">
        <x:f t="shared" si="1"/>
        <x:v>Подитоги:SOFНет</x:v>
      </x:c>
      <x:c r="DM2" s="489" t="str">
        <x:f t="shared" si="1"/>
        <x:v>Подитоги:SOFНет</x:v>
      </x:c>
      <x:c r="DN2" s="489" t="str">
        <x:f t="shared" si="1"/>
        <x:v>Подитоги:SOFНет</x:v>
      </x:c>
      <x:c r="DO2" s="489" t="str">
        <x:f t="shared" si="1"/>
        <x:v>Подитоги:SOFНет</x:v>
      </x:c>
      <x:c r="DP2" s="489" t="str">
        <x:f t="shared" si="1"/>
        <x:v>Подитоги:SOFНет</x:v>
      </x:c>
      <x:c r="DQ2" s="489" t="str">
        <x:f t="shared" si="1"/>
        <x:v>Подитоги:SOFНет</x:v>
      </x:c>
      <x:c r="DR2" s="489" t="str">
        <x:f t="shared" si="1"/>
        <x:v>Подитоги:SOFНет</x:v>
      </x:c>
      <x:c r="DS2" s="489" t="str">
        <x:f t="shared" si="1"/>
        <x:v>Подитоги:SOFНет</x:v>
      </x:c>
      <x:c r="DT2" s="489" t="str">
        <x:f t="shared" si="1"/>
        <x:v>Подитоги:SOFНет</x:v>
      </x:c>
      <x:c r="DU2" s="489" t="str">
        <x:f t="shared" si="1"/>
        <x:v>Подитоги:SOFНет</x:v>
      </x:c>
      <x:c r="DV2" s="489" t="str">
        <x:f t="shared" si="1"/>
        <x:v>Подитоги:SOFНет</x:v>
      </x:c>
      <x:c r="DW2" s="489" t="str">
        <x:f t="shared" si="1"/>
        <x:v>Подитоги:SOFНет</x:v>
      </x:c>
      <x:c r="DX2" s="489" t="str">
        <x:f t="shared" si="1"/>
        <x:v>Подитоги:SOFНет</x:v>
      </x:c>
      <x:c r="DY2" s="489" t="str">
        <x:f t="shared" si="1"/>
        <x:v>Подитоги:SOFНет</x:v>
      </x:c>
      <x:c r="DZ2" s="489" t="str">
        <x:f t="shared" si="1"/>
        <x:v>Подитоги:SOFНет</x:v>
      </x:c>
      <x:c r="EA2" s="489" t="str">
        <x:f t="shared" ref="EA2:EU2" si="2">EA8&amp;EA5&amp;EA3&amp;EA4&amp;EA10</x:f>
        <x:v>77Нет</x:v>
      </x:c>
      <x:c r="EB2" s="489" t="str">
        <x:f t="shared" si="2"/>
        <x:v>Подитоги:SOFНет</x:v>
      </x:c>
      <x:c r="EC2" s="489" t="str">
        <x:f t="shared" si="2"/>
        <x:v>Подитоги:SOFНет</x:v>
      </x:c>
      <x:c r="ED2" s="489" t="str">
        <x:f t="shared" si="2"/>
        <x:v>Подитоги:SOFНет</x:v>
      </x:c>
      <x:c r="EE2" s="489" t="str">
        <x:f t="shared" si="2"/>
        <x:v>Подитоги:SOFНет</x:v>
      </x:c>
      <x:c r="EF2" s="489" t="str">
        <x:f t="shared" si="2"/>
        <x:v>Подитоги:SOFНет</x:v>
      </x:c>
      <x:c r="EG2" s="489" t="str">
        <x:f t="shared" si="2"/>
        <x:v>Подитоги:SOFНет</x:v>
      </x:c>
      <x:c r="EH2" s="489" t="str">
        <x:f t="shared" si="2"/>
        <x:v>Подитоги:SOFНет</x:v>
      </x:c>
      <x:c r="EI2" s="489" t="str">
        <x:f t="shared" si="2"/>
        <x:v>Подитоги:SOFНет</x:v>
      </x:c>
      <x:c r="EJ2" s="489" t="str">
        <x:f t="shared" si="2"/>
        <x:v>Подитоги:SOFНет</x:v>
      </x:c>
      <x:c r="EK2" s="489" t="str">
        <x:f t="shared" si="2"/>
        <x:v>Подитоги:SOFНет</x:v>
      </x:c>
      <x:c r="EL2" s="489" t="str">
        <x:f t="shared" si="2"/>
        <x:v>Подитоги:SOFНет</x:v>
      </x:c>
      <x:c r="EM2" s="489" t="str">
        <x:f t="shared" si="2"/>
        <x:v>Подитоги:SOFНет</x:v>
      </x:c>
      <x:c r="EN2" s="489" t="str">
        <x:f t="shared" si="2"/>
        <x:v>Подитоги:SOFНет</x:v>
      </x:c>
      <x:c r="EO2" s="489" t="str">
        <x:f t="shared" si="2"/>
        <x:v>Подитоги:SOFНет</x:v>
      </x:c>
      <x:c r="EP2" s="489" t="str">
        <x:f t="shared" si="2"/>
        <x:v>Подитоги:SOFНет</x:v>
      </x:c>
      <x:c r="EQ2" s="489" t="str">
        <x:f t="shared" si="2"/>
        <x:v>Подитоги:SOFНет</x:v>
      </x:c>
      <x:c r="ER2" s="489" t="str">
        <x:f t="shared" si="2"/>
        <x:v>Подитоги:SOFНет</x:v>
      </x:c>
      <x:c r="ES2" s="489" t="str">
        <x:f t="shared" si="2"/>
        <x:v>Подитоги:SOFНет</x:v>
      </x:c>
      <x:c r="ET2" s="489" t="str">
        <x:f t="shared" si="2"/>
        <x:v>Подитоги:SOFНет</x:v>
      </x:c>
      <x:c r="EU2" s="489" t="str">
        <x:f t="shared" si="2"/>
        <x:v>Подитоги:SOFНет</x:v>
      </x:c>
    </x:row>
    <x:row r="3" ht="22" hidden="1" customHeight="1">
      <x:c r="A3" s="488"/>
      <x:c r="B3" s="489" t="str">
        <x:f t="shared" ref="B3:AG3" si="3">IF(LEN(B8)&gt;0,B8,A3)</x:f>
        <x:v>7</x:v>
      </x:c>
      <x:c r="C3" s="489" t="str">
        <x:f t="shared" si="3"/>
        <x:v>MAMA</x:v>
      </x:c>
      <x:c r="D3" s="489" t="str">
        <x:f t="shared" si="3"/>
        <x:v>MAMA</x:v>
      </x:c>
      <x:c r="E3" s="489" t="str">
        <x:f t="shared" si="3"/>
        <x:v>MAMA</x:v>
      </x:c>
      <x:c r="F3" s="489" t="str">
        <x:f t="shared" si="3"/>
        <x:v>MAMA</x:v>
      </x:c>
      <x:c r="G3" s="489" t="str">
        <x:f t="shared" si="3"/>
        <x:v>MAMA</x:v>
      </x:c>
      <x:c r="H3" s="489" t="str">
        <x:f t="shared" si="3"/>
        <x:v>MAMA</x:v>
      </x:c>
      <x:c r="I3" s="489" t="str">
        <x:f t="shared" si="3"/>
        <x:v>MAMA</x:v>
      </x:c>
      <x:c r="J3" s="489" t="str">
        <x:f t="shared" si="3"/>
        <x:v>MAMA</x:v>
      </x:c>
      <x:c r="K3" s="489" t="str">
        <x:f t="shared" si="3"/>
        <x:v>MAMA</x:v>
      </x:c>
      <x:c r="L3" s="489" t="str">
        <x:f t="shared" si="3"/>
        <x:v>MAMA</x:v>
      </x:c>
      <x:c r="M3" s="489" t="str">
        <x:f t="shared" si="3"/>
        <x:v>MAMA</x:v>
      </x:c>
      <x:c r="N3" s="489" t="str">
        <x:f t="shared" si="3"/>
        <x:v>MAMA</x:v>
      </x:c>
      <x:c r="O3" s="489" t="str">
        <x:f t="shared" si="3"/>
        <x:v>MAMA</x:v>
      </x:c>
      <x:c r="P3" s="489" t="str">
        <x:f t="shared" si="3"/>
        <x:v>MAMA</x:v>
      </x:c>
      <x:c r="Q3" s="489" t="str">
        <x:f t="shared" si="3"/>
        <x:v>MAMA</x:v>
      </x:c>
      <x:c r="R3" s="489" t="str">
        <x:f t="shared" si="3"/>
        <x:v>MAMA</x:v>
      </x:c>
      <x:c r="S3" s="489" t="str">
        <x:f t="shared" si="3"/>
        <x:v>MAMA</x:v>
      </x:c>
      <x:c r="T3" s="489" t="str">
        <x:f t="shared" si="3"/>
        <x:v>MAMA</x:v>
      </x:c>
      <x:c r="U3" s="489" t="str">
        <x:f t="shared" si="3"/>
        <x:v>MAMA</x:v>
      </x:c>
      <x:c r="V3" s="489" t="str">
        <x:f t="shared" si="3"/>
        <x:v>MAMA</x:v>
      </x:c>
      <x:c r="W3" s="489" t="str">
        <x:f t="shared" si="3"/>
        <x:v>MAMA</x:v>
      </x:c>
      <x:c r="X3" s="489" t="str">
        <x:f t="shared" si="3"/>
        <x:v>MAMA</x:v>
      </x:c>
      <x:c r="Y3" s="489" t="str">
        <x:f t="shared" si="3"/>
        <x:v>MAMA</x:v>
      </x:c>
      <x:c r="Z3" s="489" t="str">
        <x:f t="shared" si="3"/>
        <x:v>MAMA</x:v>
      </x:c>
      <x:c r="AA3" s="489" t="str">
        <x:f t="shared" si="3"/>
        <x:v>MAMA</x:v>
      </x:c>
      <x:c r="AB3" s="489" t="str">
        <x:f t="shared" si="3"/>
        <x:v>MAMA</x:v>
      </x:c>
      <x:c r="AC3" s="489" t="str">
        <x:f t="shared" si="3"/>
        <x:v>MAMA</x:v>
      </x:c>
      <x:c r="AD3" s="489" t="str">
        <x:f t="shared" si="3"/>
        <x:v>SOF</x:v>
      </x:c>
      <x:c r="AE3" s="489" t="str">
        <x:f t="shared" si="3"/>
        <x:v>SOF</x:v>
      </x:c>
      <x:c r="AF3" s="489" t="str">
        <x:f t="shared" si="3"/>
        <x:v>SOF</x:v>
      </x:c>
      <x:c r="AG3" s="489" t="str">
        <x:f t="shared" si="3"/>
        <x:v>SOF</x:v>
      </x:c>
      <x:c r="AH3" s="489" t="str">
        <x:f t="shared" ref="AH3:BM3" si="4">IF(LEN(AH8)&gt;0,AH8,AG3)</x:f>
        <x:v>7</x:v>
      </x:c>
      <x:c r="AI3" s="489" t="str">
        <x:f t="shared" si="4"/>
        <x:v>SOF</x:v>
      </x:c>
      <x:c r="AJ3" s="489" t="str">
        <x:f t="shared" si="4"/>
        <x:v>SOF</x:v>
      </x:c>
      <x:c r="AK3" s="489" t="str">
        <x:f t="shared" si="4"/>
        <x:v>SOF</x:v>
      </x:c>
      <x:c r="AL3" s="489" t="str">
        <x:f t="shared" si="4"/>
        <x:v>SOF</x:v>
      </x:c>
      <x:c r="AM3" s="489" t="str">
        <x:f t="shared" si="4"/>
        <x:v>SOF</x:v>
      </x:c>
      <x:c r="AN3" s="489" t="str">
        <x:f t="shared" si="4"/>
        <x:v>SOF</x:v>
      </x:c>
      <x:c r="AO3" s="489" t="str">
        <x:f t="shared" si="4"/>
        <x:v>SOF</x:v>
      </x:c>
      <x:c r="AP3" s="489" t="str">
        <x:f t="shared" si="4"/>
        <x:v>SOF</x:v>
      </x:c>
      <x:c r="AQ3" s="489" t="str">
        <x:f t="shared" si="4"/>
        <x:v>SOF</x:v>
      </x:c>
      <x:c r="AR3" s="489" t="str">
        <x:f t="shared" si="4"/>
        <x:v>SOF</x:v>
      </x:c>
      <x:c r="AS3" s="489" t="str">
        <x:f t="shared" si="4"/>
        <x:v>SOF</x:v>
      </x:c>
      <x:c r="AT3" s="489" t="str">
        <x:f t="shared" si="4"/>
        <x:v>SOF</x:v>
      </x:c>
      <x:c r="AU3" s="489" t="str">
        <x:f t="shared" si="4"/>
        <x:v>SOF</x:v>
      </x:c>
      <x:c r="AV3" s="489" t="str">
        <x:f t="shared" si="4"/>
        <x:v>SOF</x:v>
      </x:c>
      <x:c r="AW3" s="489" t="str">
        <x:f t="shared" si="4"/>
        <x:v>SOF</x:v>
      </x:c>
      <x:c r="AX3" s="489" t="str">
        <x:f t="shared" si="4"/>
        <x:v>SOF</x:v>
      </x:c>
      <x:c r="AY3" s="489" t="str">
        <x:f t="shared" si="4"/>
        <x:v>SOF</x:v>
      </x:c>
      <x:c r="AZ3" s="489" t="str">
        <x:f t="shared" si="4"/>
        <x:v>SOF</x:v>
      </x:c>
      <x:c r="BA3" s="489" t="str">
        <x:f t="shared" si="4"/>
        <x:v>SOF</x:v>
      </x:c>
      <x:c r="BB3" s="489" t="str">
        <x:f t="shared" si="4"/>
        <x:v>SOF</x:v>
      </x:c>
      <x:c r="BC3" s="489" t="str">
        <x:f t="shared" si="4"/>
        <x:v>SOF</x:v>
      </x:c>
      <x:c r="BD3" s="489" t="str">
        <x:f t="shared" si="4"/>
        <x:v>SOF</x:v>
      </x:c>
      <x:c r="BE3" s="489" t="str">
        <x:f t="shared" si="4"/>
        <x:v>SOF</x:v>
      </x:c>
      <x:c r="BF3" s="489" t="str">
        <x:f t="shared" si="4"/>
        <x:v>MAMA</x:v>
      </x:c>
      <x:c r="BG3" s="489" t="str">
        <x:f t="shared" si="4"/>
        <x:v>MAMA</x:v>
      </x:c>
      <x:c r="BH3" s="489" t="str">
        <x:f t="shared" si="4"/>
        <x:v>MAMA</x:v>
      </x:c>
      <x:c r="BI3" s="489" t="str">
        <x:f t="shared" si="4"/>
        <x:v>MAMA</x:v>
      </x:c>
      <x:c r="BJ3" s="489" t="str">
        <x:f t="shared" si="4"/>
        <x:v>MAMA</x:v>
      </x:c>
      <x:c r="BK3" s="489" t="str">
        <x:f t="shared" si="4"/>
        <x:v>MAMA</x:v>
      </x:c>
      <x:c r="BL3" s="489" t="str">
        <x:f t="shared" si="4"/>
        <x:v>MAMA</x:v>
      </x:c>
      <x:c r="BM3" s="489" t="str">
        <x:f t="shared" si="4"/>
        <x:v>MAMA</x:v>
      </x:c>
      <x:c r="BN3" s="489" t="str">
        <x:f t="shared" ref="BN3:BU3" si="5">IF(LEN(BN8)&gt;0,BN8,BM3)</x:f>
        <x:v>7</x:v>
      </x:c>
      <x:c r="BO3" s="489" t="str">
        <x:f t="shared" si="5"/>
        <x:v>MAMA</x:v>
      </x:c>
      <x:c r="BP3" s="489" t="str">
        <x:f t="shared" si="5"/>
        <x:v>MAMA</x:v>
      </x:c>
      <x:c r="BQ3" s="489" t="str">
        <x:f t="shared" si="5"/>
        <x:v>MAMA</x:v>
      </x:c>
      <x:c r="BR3" s="489" t="str">
        <x:f t="shared" si="5"/>
        <x:v>MAMA</x:v>
      </x:c>
      <x:c r="BS3" s="489" t="str">
        <x:f t="shared" si="5"/>
        <x:v>MAMA</x:v>
      </x:c>
      <x:c r="BT3" s="489" t="str">
        <x:f t="shared" si="5"/>
        <x:v>MAMA</x:v>
      </x:c>
      <x:c r="BU3" s="489" t="str">
        <x:f t="shared" si="5"/>
        <x:v>MAMA</x:v>
      </x:c>
      <x:c r="BV3" s="489" t="str">
        <x:f t="shared" ref="BV3:BV4" si="6">IF(LEN(BV8)&gt;0,BV8,BU3)</x:f>
        <x:v>7</x:v>
      </x:c>
      <x:c r="BW3" s="489" t="str">
        <x:f t="shared" ref="BW3:BW4" si="7">IF(LEN(BW8)&gt;0,BW8,BV3)</x:f>
        <x:v>7</x:v>
      </x:c>
      <x:c r="BX3" s="489" t="str">
        <x:f t="shared" ref="BX3:BX4" si="8">IF(LEN(BX8)&gt;0,BX8,BW3)</x:f>
        <x:v>7</x:v>
      </x:c>
      <x:c r="BY3" s="489" t="str">
        <x:f t="shared" ref="BY3:BY4" si="9">IF(LEN(BY8)&gt;0,BY8,BX3)</x:f>
        <x:v>7</x:v>
      </x:c>
      <x:c r="BZ3" s="489" t="str">
        <x:f t="shared" ref="BZ3:BZ4" si="10">IF(LEN(BZ8)&gt;0,BZ8,BY3)</x:f>
        <x:v>7</x:v>
      </x:c>
      <x:c r="CA3" s="489" t="str">
        <x:f t="shared" ref="CA3:CA4" si="11">IF(LEN(CA8)&gt;0,CA8,BZ3)</x:f>
        <x:v>7</x:v>
      </x:c>
      <x:c r="CB3" s="489" t="str">
        <x:f t="shared" ref="CB3:CB4" si="12">IF(LEN(CB8)&gt;0,CB8,CA3)</x:f>
        <x:v>7</x:v>
      </x:c>
      <x:c r="CC3" s="489" t="str">
        <x:f t="shared" ref="CC3:CC4" si="13">IF(LEN(CC8)&gt;0,CC8,CB3)</x:f>
        <x:v>7</x:v>
      </x:c>
      <x:c r="CD3" s="489" t="str">
        <x:f t="shared" ref="CD3:CD4" si="14">IF(LEN(CD8)&gt;0,CD8,CC3)</x:f>
        <x:v>7</x:v>
      </x:c>
      <x:c r="CE3" s="489" t="str">
        <x:f t="shared" ref="CE3:CE4" si="15">IF(LEN(CE8)&gt;0,CE8,CD3)</x:f>
        <x:v>7</x:v>
      </x:c>
      <x:c r="CF3" s="489" t="str">
        <x:f t="shared" ref="CF3:CF4" si="16">IF(LEN(CF8)&gt;0,CF8,CE3)</x:f>
        <x:v>7</x:v>
      </x:c>
      <x:c r="CG3" s="489" t="str">
        <x:f t="shared" ref="CG3:CG4" si="17">IF(LEN(CG8)&gt;0,CG8,CF3)</x:f>
        <x:v>SOF</x:v>
      </x:c>
      <x:c r="CH3" s="489" t="str">
        <x:f t="shared" ref="CH3:CH4" si="18">IF(LEN(CH8)&gt;0,CH8,CG3)</x:f>
        <x:v>7</x:v>
      </x:c>
      <x:c r="CI3" s="489" t="str">
        <x:f t="shared" ref="CI3:CI4" si="19">IF(LEN(CI8)&gt;0,CI8,CH3)</x:f>
        <x:v>7</x:v>
      </x:c>
      <x:c r="CJ3" s="489" t="str">
        <x:f t="shared" ref="CJ3:CJ4" si="20">IF(LEN(CJ8)&gt;0,CJ8,CI3)</x:f>
        <x:v>7</x:v>
      </x:c>
      <x:c r="CK3" s="489" t="str">
        <x:f t="shared" ref="CK3:CK4" si="21">IF(LEN(CK8)&gt;0,CK8,CJ3)</x:f>
        <x:v>7</x:v>
      </x:c>
      <x:c r="CL3" s="489" t="str">
        <x:f t="shared" ref="CL3:CL4" si="22">IF(LEN(CL8)&gt;0,CL8,CK3)</x:f>
        <x:v>7</x:v>
      </x:c>
      <x:c r="CM3" s="489" t="str">
        <x:f t="shared" ref="CM3:CM4" si="23">IF(LEN(CM8)&gt;0,CM8,CL3)</x:f>
        <x:v>7</x:v>
      </x:c>
      <x:c r="CN3" s="489" t="str">
        <x:f t="shared" ref="CN3:CN4" si="24">IF(LEN(CN8)&gt;0,CN8,CM3)</x:f>
        <x:v>7</x:v>
      </x:c>
      <x:c r="CO3" s="489" t="str">
        <x:f t="shared" ref="CO3:CO4" si="25">IF(LEN(CO8)&gt;0,CO8,CN3)</x:f>
        <x:v>7</x:v>
      </x:c>
      <x:c r="CP3" s="489" t="str">
        <x:f t="shared" ref="CP3:CP4" si="26">IF(LEN(CP8)&gt;0,CP8,CO3)</x:f>
        <x:v>7</x:v>
      </x:c>
      <x:c r="CQ3" s="489" t="str">
        <x:f t="shared" ref="CQ3:CQ4" si="27">IF(LEN(CQ8)&gt;0,CQ8,CP3)</x:f>
        <x:v>7</x:v>
      </x:c>
      <x:c r="CR3" s="489" t="str">
        <x:f t="shared" ref="CR3:CR4" si="28">IF(LEN(CR8)&gt;0,CR8,CQ3)</x:f>
        <x:v>7</x:v>
      </x:c>
      <x:c r="CS3" s="489" t="str">
        <x:f t="shared" ref="CS3:CS4" si="29">IF(LEN(CS8)&gt;0,CS8,CR3)</x:f>
        <x:v>7</x:v>
      </x:c>
      <x:c r="CT3" s="489" t="str">
        <x:f t="shared" ref="CT3:CT4" si="30">IF(LEN(CT8)&gt;0,CT8,CS3)</x:f>
        <x:v>7</x:v>
      </x:c>
      <x:c r="CU3" s="489" t="str">
        <x:f t="shared" ref="CU3:CU4" si="31">IF(LEN(CU8)&gt;0,CU8,CT3)</x:f>
        <x:v>7</x:v>
      </x:c>
      <x:c r="CV3" s="489" t="str">
        <x:f t="shared" ref="CV3:CV4" si="32">IF(LEN(CV8)&gt;0,CV8,CU3)</x:f>
        <x:v>7</x:v>
      </x:c>
      <x:c r="CW3" s="489" t="str">
        <x:f t="shared" ref="CW3:CW4" si="33">IF(LEN(CW8)&gt;0,CW8,CV3)</x:f>
        <x:v>7</x:v>
      </x:c>
      <x:c r="CX3" s="489" t="str">
        <x:f t="shared" ref="CX3:CX4" si="34">IF(LEN(CX8)&gt;0,CX8,CW3)</x:f>
        <x:v>7</x:v>
      </x:c>
      <x:c r="CY3" s="489" t="str">
        <x:f t="shared" ref="CY3:CY4" si="35">IF(LEN(CY8)&gt;0,CY8,CX3)</x:f>
        <x:v>7</x:v>
      </x:c>
      <x:c r="CZ3" s="489" t="str">
        <x:f t="shared" ref="CZ3:CZ4" si="36">IF(LEN(CZ8)&gt;0,CZ8,CY3)</x:f>
        <x:v>7</x:v>
      </x:c>
      <x:c r="DA3" s="489" t="str">
        <x:f t="shared" ref="DA3:DA4" si="37">IF(LEN(DA8)&gt;0,DA8,CZ3)</x:f>
        <x:v>7</x:v>
      </x:c>
      <x:c r="DB3" s="489" t="str">
        <x:f t="shared" ref="DB3:DB4" si="38">IF(LEN(DB8)&gt;0,DB8,DA3)</x:f>
        <x:v>7</x:v>
      </x:c>
      <x:c r="DC3" s="489" t="str">
        <x:f t="shared" ref="DC3:DC4" si="39">IF(LEN(DC8)&gt;0,DC8,DB3)</x:f>
        <x:v>7</x:v>
      </x:c>
      <x:c r="DD3" s="489" t="str">
        <x:f t="shared" ref="DD3:DD4" si="40">IF(LEN(DD8)&gt;0,DD8,DC3)</x:f>
        <x:v>7</x:v>
      </x:c>
      <x:c r="DE3" s="489" t="str">
        <x:f t="shared" ref="DE3:DE4" si="41">IF(LEN(DE8)&gt;0,DE8,DD3)</x:f>
        <x:v>7</x:v>
      </x:c>
      <x:c r="DF3" s="489" t="str">
        <x:f t="shared" ref="DF3:DF4" si="42">IF(LEN(DF8)&gt;0,DF8,DE3)</x:f>
        <x:v>7</x:v>
      </x:c>
      <x:c r="DG3" s="489" t="str">
        <x:f t="shared" ref="DG3:DG4" si="43">IF(LEN(DG8)&gt;0,DG8,DF3)</x:f>
        <x:v>7</x:v>
      </x:c>
      <x:c r="DH3" s="489" t="str">
        <x:f t="shared" ref="DH3:DH4" si="44">IF(LEN(DH8)&gt;0,DH8,DG3)</x:f>
        <x:v>7</x:v>
      </x:c>
      <x:c r="DI3" s="489" t="str">
        <x:f t="shared" ref="DI3:DI4" si="45">IF(LEN(DI8)&gt;0,DI8,DH3)</x:f>
        <x:v>7</x:v>
      </x:c>
      <x:c r="DJ3" s="489" t="str">
        <x:f t="shared" ref="DJ3:DJ4" si="46">IF(LEN(DJ8)&gt;0,DJ8,DI3)</x:f>
        <x:v>7</x:v>
      </x:c>
      <x:c r="DK3" s="489" t="str">
        <x:f t="shared" ref="DK3:DK4" si="47">IF(LEN(DK8)&gt;0,DK8,DJ3)</x:f>
        <x:v>7</x:v>
      </x:c>
      <x:c r="DL3" s="489" t="str">
        <x:f t="shared" ref="DL3:DL4" si="48">IF(LEN(DL8)&gt;0,DL8,DK3)</x:f>
        <x:v>7</x:v>
      </x:c>
      <x:c r="DM3" s="489" t="str">
        <x:f t="shared" ref="DM3:DM4" si="49">IF(LEN(DM8)&gt;0,DM8,DL3)</x:f>
        <x:v>7</x:v>
      </x:c>
      <x:c r="DN3" s="489" t="str">
        <x:f t="shared" ref="DN3:DN4" si="50">IF(LEN(DN8)&gt;0,DN8,DM3)</x:f>
        <x:v>7</x:v>
      </x:c>
      <x:c r="DO3" s="489" t="str">
        <x:f t="shared" ref="DO3:DO4" si="51">IF(LEN(DO8)&gt;0,DO8,DN3)</x:f>
        <x:v>7</x:v>
      </x:c>
      <x:c r="DP3" s="489" t="str">
        <x:f t="shared" ref="DP3:DP4" si="52">IF(LEN(DP8)&gt;0,DP8,DO3)</x:f>
        <x:v>7</x:v>
      </x:c>
      <x:c r="DQ3" s="489" t="str">
        <x:f t="shared" ref="DQ3:DQ4" si="53">IF(LEN(DQ8)&gt;0,DQ8,DP3)</x:f>
        <x:v>7</x:v>
      </x:c>
      <x:c r="DR3" s="489" t="str">
        <x:f t="shared" ref="DR3:DR4" si="54">IF(LEN(DR8)&gt;0,DR8,DQ3)</x:f>
        <x:v>7</x:v>
      </x:c>
      <x:c r="DS3" s="489" t="str">
        <x:f t="shared" ref="DS3:DS4" si="55">IF(LEN(DS8)&gt;0,DS8,DR3)</x:f>
        <x:v>7</x:v>
      </x:c>
      <x:c r="DT3" s="489" t="str">
        <x:f t="shared" ref="DT3:DT4" si="56">IF(LEN(DT8)&gt;0,DT8,DS3)</x:f>
        <x:v>7</x:v>
      </x:c>
      <x:c r="DU3" s="489" t="str">
        <x:f t="shared" ref="DU3:DU4" si="57">IF(LEN(DU8)&gt;0,DU8,DT3)</x:f>
        <x:v>7</x:v>
      </x:c>
      <x:c r="DV3" s="489" t="str">
        <x:f t="shared" ref="DV3:DV4" si="58">IF(LEN(DV8)&gt;0,DV8,DU3)</x:f>
        <x:v>7</x:v>
      </x:c>
      <x:c r="DW3" s="489" t="str">
        <x:f t="shared" ref="DW3:DW4" si="59">IF(LEN(DW8)&gt;0,DW8,DV3)</x:f>
        <x:v>7</x:v>
      </x:c>
      <x:c r="DX3" s="489" t="str">
        <x:f t="shared" ref="DX3:DX4" si="60">IF(LEN(DX8)&gt;0,DX8,DW3)</x:f>
        <x:v>7</x:v>
      </x:c>
      <x:c r="DY3" s="489" t="str">
        <x:f t="shared" ref="DY3:DY4" si="61">IF(LEN(DY8)&gt;0,DY8,DX3)</x:f>
        <x:v>7</x:v>
      </x:c>
      <x:c r="DZ3" s="489" t="str">
        <x:f t="shared" ref="DZ3:DZ4" si="62">IF(LEN(DZ8)&gt;0,DZ8,DY3)</x:f>
        <x:v>7</x:v>
      </x:c>
      <x:c r="EA3" s="489" t="str">
        <x:f t="shared" ref="EA3:EA4" si="63">IF(LEN(EA8)&gt;0,EA8,DZ3)</x:f>
        <x:v>7</x:v>
      </x:c>
      <x:c r="EB3" s="489" t="str">
        <x:f t="shared" ref="EB3:EB4" si="64">IF(LEN(EB8)&gt;0,EB8,EA3)</x:f>
        <x:v>7</x:v>
      </x:c>
      <x:c r="EC3" s="489" t="str">
        <x:f t="shared" ref="EC3:EC4" si="65">IF(LEN(EC8)&gt;0,EC8,EB3)</x:f>
        <x:v>7</x:v>
      </x:c>
      <x:c r="ED3" s="489" t="str">
        <x:f t="shared" ref="ED3:ED4" si="66">IF(LEN(ED8)&gt;0,ED8,EC3)</x:f>
        <x:v>7</x:v>
      </x:c>
      <x:c r="EE3" s="489" t="str">
        <x:f t="shared" ref="EE3:EE4" si="67">IF(LEN(EE8)&gt;0,EE8,ED3)</x:f>
        <x:v>7</x:v>
      </x:c>
      <x:c r="EF3" s="489" t="str">
        <x:f t="shared" ref="EF3:EF4" si="68">IF(LEN(EF8)&gt;0,EF8,EE3)</x:f>
        <x:v>7</x:v>
      </x:c>
      <x:c r="EG3" s="489" t="str">
        <x:f t="shared" ref="EG3:EG4" si="69">IF(LEN(EG8)&gt;0,EG8,EF3)</x:f>
        <x:v>7</x:v>
      </x:c>
      <x:c r="EH3" s="489" t="str">
        <x:f t="shared" ref="EH3:EH4" si="70">IF(LEN(EH8)&gt;0,EH8,EG3)</x:f>
        <x:v>7</x:v>
      </x:c>
      <x:c r="EI3" s="489" t="str">
        <x:f t="shared" ref="EI3:EI4" si="71">IF(LEN(EI8)&gt;0,EI8,EH3)</x:f>
        <x:v>7</x:v>
      </x:c>
      <x:c r="EJ3" s="489" t="str">
        <x:f t="shared" ref="EJ3:EJ4" si="72">IF(LEN(EJ8)&gt;0,EJ8,EI3)</x:f>
        <x:v>7</x:v>
      </x:c>
      <x:c r="EK3" s="489" t="str">
        <x:f t="shared" ref="EK3:EK4" si="73">IF(LEN(EK8)&gt;0,EK8,EJ3)</x:f>
        <x:v>7</x:v>
      </x:c>
      <x:c r="EL3" s="489" t="str">
        <x:f t="shared" ref="EL3:EL4" si="74">IF(LEN(EL8)&gt;0,EL8,EK3)</x:f>
        <x:v>7</x:v>
      </x:c>
      <x:c r="EM3" s="489" t="str">
        <x:f t="shared" ref="EM3:EM4" si="75">IF(LEN(EM8)&gt;0,EM8,EL3)</x:f>
        <x:v>7</x:v>
      </x:c>
      <x:c r="EN3" s="489" t="str">
        <x:f t="shared" ref="EN3:EN4" si="76">IF(LEN(EN8)&gt;0,EN8,EM3)</x:f>
        <x:v>7</x:v>
      </x:c>
      <x:c r="EO3" s="489" t="str">
        <x:f t="shared" ref="EO3:EO4" si="77">IF(LEN(EO8)&gt;0,EO8,EN3)</x:f>
        <x:v>7</x:v>
      </x:c>
      <x:c r="EP3" s="489" t="str">
        <x:f t="shared" ref="EP3:EP4" si="78">IF(LEN(EP8)&gt;0,EP8,EO3)</x:f>
        <x:v>7</x:v>
      </x:c>
      <x:c r="EQ3" s="489" t="str">
        <x:f t="shared" ref="EQ3:EQ4" si="79">IF(LEN(EQ8)&gt;0,EQ8,EP3)</x:f>
        <x:v>7</x:v>
      </x:c>
      <x:c r="ER3" s="489" t="str">
        <x:f t="shared" ref="ER3:ER4" si="80">IF(LEN(ER8)&gt;0,ER8,EQ3)</x:f>
        <x:v>7</x:v>
      </x:c>
      <x:c r="ES3" s="489" t="str">
        <x:f t="shared" ref="ES3:ES4" si="81">IF(LEN(ES8)&gt;0,ES8,ER3)</x:f>
        <x:v>7</x:v>
      </x:c>
      <x:c r="ET3" s="489" t="str">
        <x:f t="shared" ref="ET3:ET4" si="82">IF(LEN(ET8)&gt;0,ET8,ES3)</x:f>
        <x:v>7</x:v>
      </x:c>
      <x:c r="EU3" s="489" t="str">
        <x:f t="shared" ref="EU3:EU4" si="83">IF(LEN(EU8)&gt;0,EU8,ET3)</x:f>
        <x:v>7</x:v>
      </x:c>
    </x:row>
    <x:row r="4" ht="22" hidden="1" customHeight="1">
      <x:c r="A4" s="488"/>
      <x:c r="B4" s="488"/>
      <x:c r="C4" s="489" t="str">
        <x:f t="shared" ref="C4:AH4" si="84">IF(LEN(C9)&gt;0,C9,B4)</x:f>
        <x:v>7</x:v>
      </x:c>
      <x:c r="D4" s="489" t="str">
        <x:f t="shared" si="84"/>
        <x:v>Да</x:v>
      </x:c>
      <x:c r="E4" s="489" t="str">
        <x:f t="shared" si="84"/>
        <x:v>Да</x:v>
      </x:c>
      <x:c r="F4" s="489" t="str">
        <x:f t="shared" si="84"/>
        <x:v>Да</x:v>
      </x:c>
      <x:c r="G4" s="489" t="str">
        <x:f t="shared" si="84"/>
        <x:v>Да</x:v>
      </x:c>
      <x:c r="H4" s="489" t="str">
        <x:f t="shared" si="84"/>
        <x:v>Да</x:v>
      </x:c>
      <x:c r="I4" s="489" t="str">
        <x:f t="shared" si="84"/>
        <x:v>Да</x:v>
      </x:c>
      <x:c r="J4" s="489" t="str">
        <x:f t="shared" si="84"/>
        <x:v>Да</x:v>
      </x:c>
      <x:c r="K4" s="489" t="str">
        <x:f t="shared" si="84"/>
        <x:v>Да</x:v>
      </x:c>
      <x:c r="L4" s="489" t="str">
        <x:f t="shared" si="84"/>
        <x:v>Да</x:v>
      </x:c>
      <x:c r="M4" s="489" t="str">
        <x:f t="shared" si="84"/>
        <x:v>Да</x:v>
      </x:c>
      <x:c r="N4" s="489" t="str">
        <x:f t="shared" si="84"/>
        <x:v>Да</x:v>
      </x:c>
      <x:c r="O4" s="489" t="str">
        <x:f t="shared" si="84"/>
        <x:v>Да</x:v>
      </x:c>
      <x:c r="P4" s="489" t="str">
        <x:f t="shared" si="84"/>
        <x:v>Да</x:v>
      </x:c>
      <x:c r="Q4" s="489" t="str">
        <x:f t="shared" si="84"/>
        <x:v>Нет</x:v>
      </x:c>
      <x:c r="R4" s="489" t="str">
        <x:f t="shared" si="84"/>
        <x:v>Нет</x:v>
      </x:c>
      <x:c r="S4" s="489" t="str">
        <x:f t="shared" si="84"/>
        <x:v>Нет</x:v>
      </x:c>
      <x:c r="T4" s="489" t="str">
        <x:f t="shared" si="84"/>
        <x:v>Нет</x:v>
      </x:c>
      <x:c r="U4" s="489" t="str">
        <x:f t="shared" si="84"/>
        <x:v>Нет</x:v>
      </x:c>
      <x:c r="V4" s="489" t="str">
        <x:f t="shared" si="84"/>
        <x:v>Нет</x:v>
      </x:c>
      <x:c r="W4" s="489" t="str">
        <x:f t="shared" si="84"/>
        <x:v>Нет</x:v>
      </x:c>
      <x:c r="X4" s="489" t="str">
        <x:f t="shared" si="84"/>
        <x:v>Нет</x:v>
      </x:c>
      <x:c r="Y4" s="489" t="str">
        <x:f t="shared" si="84"/>
        <x:v>Нет</x:v>
      </x:c>
      <x:c r="Z4" s="489" t="str">
        <x:f t="shared" si="84"/>
        <x:v>Нет</x:v>
      </x:c>
      <x:c r="AA4" s="489" t="str">
        <x:f t="shared" si="84"/>
        <x:v>Нет</x:v>
      </x:c>
      <x:c r="AB4" s="489" t="str">
        <x:f t="shared" si="84"/>
        <x:v>Нет</x:v>
      </x:c>
      <x:c r="AC4" s="489" t="str">
        <x:f t="shared" si="84"/>
        <x:v>Нет</x:v>
      </x:c>
      <x:c r="AD4" s="489" t="str">
        <x:f t="shared" si="84"/>
        <x:v>Нет</x:v>
      </x:c>
      <x:c r="AE4" s="489" t="str">
        <x:f t="shared" si="84"/>
        <x:v>Да</x:v>
      </x:c>
      <x:c r="AF4" s="489" t="str">
        <x:f t="shared" si="84"/>
        <x:v>Да</x:v>
      </x:c>
      <x:c r="AG4" s="489" t="str">
        <x:f t="shared" si="84"/>
        <x:v>Да</x:v>
      </x:c>
      <x:c r="AH4" s="489" t="str">
        <x:f t="shared" si="84"/>
        <x:v>Да</x:v>
      </x:c>
      <x:c r="AI4" s="489" t="str">
        <x:f t="shared" ref="AI4:BN4" si="85">IF(LEN(AI9)&gt;0,AI9,AH4)</x:f>
        <x:v>7</x:v>
      </x:c>
      <x:c r="AJ4" s="489" t="str">
        <x:f t="shared" si="85"/>
        <x:v>Да</x:v>
      </x:c>
      <x:c r="AK4" s="489" t="str">
        <x:f t="shared" si="85"/>
        <x:v>Да</x:v>
      </x:c>
      <x:c r="AL4" s="489" t="str">
        <x:f t="shared" si="85"/>
        <x:v>Да</x:v>
      </x:c>
      <x:c r="AM4" s="489" t="str">
        <x:f t="shared" si="85"/>
        <x:v>Да</x:v>
      </x:c>
      <x:c r="AN4" s="489" t="str">
        <x:f t="shared" si="85"/>
        <x:v>Да</x:v>
      </x:c>
      <x:c r="AO4" s="489" t="str">
        <x:f t="shared" si="85"/>
        <x:v>Да</x:v>
      </x:c>
      <x:c r="AP4" s="489" t="str">
        <x:f t="shared" si="85"/>
        <x:v>Да</x:v>
      </x:c>
      <x:c r="AQ4" s="489" t="str">
        <x:f t="shared" si="85"/>
        <x:v>Да</x:v>
      </x:c>
      <x:c r="AR4" s="489" t="str">
        <x:f t="shared" si="85"/>
        <x:v>Да</x:v>
      </x:c>
      <x:c r="AS4" s="489" t="str">
        <x:f t="shared" si="85"/>
        <x:v>Нет</x:v>
      </x:c>
      <x:c r="AT4" s="489" t="str">
        <x:f t="shared" si="85"/>
        <x:v>Нет</x:v>
      </x:c>
      <x:c r="AU4" s="489" t="str">
        <x:f t="shared" si="85"/>
        <x:v>Нет</x:v>
      </x:c>
      <x:c r="AV4" s="489" t="str">
        <x:f t="shared" si="85"/>
        <x:v>Нет</x:v>
      </x:c>
      <x:c r="AW4" s="489" t="str">
        <x:f t="shared" si="85"/>
        <x:v>Нет</x:v>
      </x:c>
      <x:c r="AX4" s="489" t="str">
        <x:f t="shared" si="85"/>
        <x:v>Нет</x:v>
      </x:c>
      <x:c r="AY4" s="489" t="str">
        <x:f t="shared" si="85"/>
        <x:v>Нет</x:v>
      </x:c>
      <x:c r="AZ4" s="489" t="str">
        <x:f t="shared" si="85"/>
        <x:v>Нет</x:v>
      </x:c>
      <x:c r="BA4" s="489" t="str">
        <x:f t="shared" si="85"/>
        <x:v>Нет</x:v>
      </x:c>
      <x:c r="BB4" s="489" t="str">
        <x:f t="shared" si="85"/>
        <x:v>Нет</x:v>
      </x:c>
      <x:c r="BC4" s="489" t="str">
        <x:f t="shared" si="85"/>
        <x:v>Нет</x:v>
      </x:c>
      <x:c r="BD4" s="489" t="str">
        <x:f t="shared" si="85"/>
        <x:v>Нет</x:v>
      </x:c>
      <x:c r="BE4" s="489" t="str">
        <x:f t="shared" si="85"/>
        <x:v>Нет</x:v>
      </x:c>
      <x:c r="BF4" s="489" t="str">
        <x:f t="shared" si="85"/>
        <x:v>Нет</x:v>
      </x:c>
      <x:c r="BG4" s="489" t="str">
        <x:f t="shared" si="85"/>
        <x:v>Да</x:v>
      </x:c>
      <x:c r="BH4" s="489" t="str">
        <x:f t="shared" si="85"/>
        <x:v>Да</x:v>
      </x:c>
      <x:c r="BI4" s="489" t="str">
        <x:f t="shared" si="85"/>
        <x:v>Да</x:v>
      </x:c>
      <x:c r="BJ4" s="489" t="str">
        <x:f t="shared" si="85"/>
        <x:v>Да</x:v>
      </x:c>
      <x:c r="BK4" s="489" t="str">
        <x:f t="shared" si="85"/>
        <x:v>Да</x:v>
      </x:c>
      <x:c r="BL4" s="489" t="str">
        <x:f t="shared" si="85"/>
        <x:v>Да</x:v>
      </x:c>
      <x:c r="BM4" s="489" t="str">
        <x:f t="shared" si="85"/>
        <x:v>Да</x:v>
      </x:c>
      <x:c r="BN4" s="489" t="str">
        <x:f t="shared" si="85"/>
        <x:v>Да</x:v>
      </x:c>
      <x:c r="BO4" s="489" t="str">
        <x:f t="shared" ref="BO4:BU4" si="86">IF(LEN(BO9)&gt;0,BO9,BN4)</x:f>
        <x:v>7</x:v>
      </x:c>
      <x:c r="BP4" s="489" t="str">
        <x:f t="shared" si="86"/>
        <x:v>Да</x:v>
      </x:c>
      <x:c r="BQ4" s="489" t="str">
        <x:f t="shared" si="86"/>
        <x:v>Да</x:v>
      </x:c>
      <x:c r="BR4" s="489" t="str">
        <x:f t="shared" si="86"/>
        <x:v>Да</x:v>
      </x:c>
      <x:c r="BS4" s="489" t="str">
        <x:f t="shared" si="86"/>
        <x:v>Да</x:v>
      </x:c>
      <x:c r="BT4" s="489" t="str">
        <x:f t="shared" si="86"/>
        <x:v>Нет</x:v>
      </x:c>
      <x:c r="BU4" s="489" t="str">
        <x:f t="shared" si="86"/>
        <x:v>Нет</x:v>
      </x:c>
      <x:c r="BV4" s="489" t="str">
        <x:f t="shared" si="6"/>
        <x:v>Нет</x:v>
      </x:c>
      <x:c r="BW4" s="489" t="str">
        <x:f t="shared" si="7"/>
        <x:v>Нет</x:v>
      </x:c>
      <x:c r="BX4" s="489" t="str">
        <x:f t="shared" si="8"/>
        <x:v>Нет</x:v>
      </x:c>
      <x:c r="BY4" s="489" t="str">
        <x:f t="shared" si="9"/>
        <x:v>Нет</x:v>
      </x:c>
      <x:c r="BZ4" s="489" t="str">
        <x:f t="shared" si="10"/>
        <x:v>Нет</x:v>
      </x:c>
      <x:c r="CA4" s="489" t="str">
        <x:f t="shared" si="11"/>
        <x:v>Нет</x:v>
      </x:c>
      <x:c r="CB4" s="489" t="str">
        <x:f t="shared" si="12"/>
        <x:v>Нет</x:v>
      </x:c>
      <x:c r="CC4" s="489" t="str">
        <x:f t="shared" si="13"/>
        <x:v>Нет</x:v>
      </x:c>
      <x:c r="CD4" s="489" t="str">
        <x:f t="shared" si="14"/>
        <x:v>Нет</x:v>
      </x:c>
      <x:c r="CE4" s="489" t="str">
        <x:f t="shared" si="15"/>
        <x:v>Нет</x:v>
      </x:c>
      <x:c r="CF4" s="489" t="str">
        <x:f t="shared" si="16"/>
        <x:v>Нет</x:v>
      </x:c>
      <x:c r="CG4" s="489" t="str">
        <x:f t="shared" si="17"/>
        <x:v>Нет</x:v>
      </x:c>
      <x:c r="CH4" s="489" t="str">
        <x:f t="shared" si="18"/>
        <x:v>Да</x:v>
      </x:c>
      <x:c r="CI4" s="489" t="str">
        <x:f t="shared" si="19"/>
        <x:v>Да</x:v>
      </x:c>
      <x:c r="CJ4" s="489" t="str">
        <x:f t="shared" si="20"/>
        <x:v>Да</x:v>
      </x:c>
      <x:c r="CK4" s="489" t="str">
        <x:f t="shared" si="21"/>
        <x:v>Да</x:v>
      </x:c>
      <x:c r="CL4" s="489" t="str">
        <x:f t="shared" si="22"/>
        <x:v>Да</x:v>
      </x:c>
      <x:c r="CM4" s="489" t="str">
        <x:f t="shared" si="23"/>
        <x:v>Да</x:v>
      </x:c>
      <x:c r="CN4" s="489" t="str">
        <x:f t="shared" si="24"/>
        <x:v>Да</x:v>
      </x:c>
      <x:c r="CO4" s="489" t="str">
        <x:f t="shared" si="25"/>
        <x:v>Да</x:v>
      </x:c>
      <x:c r="CP4" s="489" t="str">
        <x:f t="shared" si="26"/>
        <x:v>Да</x:v>
      </x:c>
      <x:c r="CQ4" s="489" t="str">
        <x:f t="shared" si="27"/>
        <x:v>Да</x:v>
      </x:c>
      <x:c r="CR4" s="489" t="str">
        <x:f t="shared" si="28"/>
        <x:v>Да</x:v>
      </x:c>
      <x:c r="CS4" s="489" t="str">
        <x:f t="shared" si="29"/>
        <x:v>Да</x:v>
      </x:c>
      <x:c r="CT4" s="489" t="str">
        <x:f t="shared" si="30"/>
        <x:v>Да</x:v>
      </x:c>
      <x:c r="CU4" s="489" t="str">
        <x:f t="shared" si="31"/>
        <x:v>Да</x:v>
      </x:c>
      <x:c r="CV4" s="489" t="str">
        <x:f t="shared" si="32"/>
        <x:v>Нет</x:v>
      </x:c>
      <x:c r="CW4" s="489" t="str">
        <x:f t="shared" si="33"/>
        <x:v>Нет</x:v>
      </x:c>
      <x:c r="CX4" s="489" t="str">
        <x:f t="shared" si="34"/>
        <x:v>Нет</x:v>
      </x:c>
      <x:c r="CY4" s="489" t="str">
        <x:f t="shared" si="35"/>
        <x:v>Нет</x:v>
      </x:c>
      <x:c r="CZ4" s="489" t="str">
        <x:f t="shared" si="36"/>
        <x:v>Нет</x:v>
      </x:c>
      <x:c r="DA4" s="489" t="str">
        <x:f t="shared" si="37"/>
        <x:v>Нет</x:v>
      </x:c>
      <x:c r="DB4" s="489" t="str">
        <x:f t="shared" si="38"/>
        <x:v>Нет</x:v>
      </x:c>
      <x:c r="DC4" s="489" t="str">
        <x:f t="shared" si="39"/>
        <x:v>Нет</x:v>
      </x:c>
      <x:c r="DD4" s="489" t="str">
        <x:f t="shared" si="40"/>
        <x:v>Нет</x:v>
      </x:c>
      <x:c r="DE4" s="489" t="str">
        <x:f t="shared" si="41"/>
        <x:v>Нет</x:v>
      </x:c>
      <x:c r="DF4" s="489" t="str">
        <x:f t="shared" si="42"/>
        <x:v>Нет</x:v>
      </x:c>
      <x:c r="DG4" s="489" t="str">
        <x:f t="shared" si="43"/>
        <x:v>Нет</x:v>
      </x:c>
      <x:c r="DH4" s="489" t="str">
        <x:f t="shared" si="44"/>
        <x:v>Нет</x:v>
      </x:c>
      <x:c r="DI4" s="489" t="str">
        <x:f t="shared" si="45"/>
        <x:v>Нет</x:v>
      </x:c>
      <x:c r="DJ4" s="489" t="str">
        <x:f t="shared" si="46"/>
        <x:v>Нет</x:v>
      </x:c>
      <x:c r="DK4" s="489" t="str">
        <x:f t="shared" si="47"/>
        <x:v>Нет</x:v>
      </x:c>
      <x:c r="DL4" s="489" t="str">
        <x:f t="shared" si="48"/>
        <x:v>Нет</x:v>
      </x:c>
      <x:c r="DM4" s="489" t="str">
        <x:f t="shared" si="49"/>
        <x:v>Нет</x:v>
      </x:c>
      <x:c r="DN4" s="489" t="str">
        <x:f t="shared" si="50"/>
        <x:v>Нет</x:v>
      </x:c>
      <x:c r="DO4" s="489" t="str">
        <x:f t="shared" si="51"/>
        <x:v>Нет</x:v>
      </x:c>
      <x:c r="DP4" s="489" t="str">
        <x:f t="shared" si="52"/>
        <x:v>Нет</x:v>
      </x:c>
      <x:c r="DQ4" s="489" t="str">
        <x:f t="shared" si="53"/>
        <x:v>Нет</x:v>
      </x:c>
      <x:c r="DR4" s="489" t="str">
        <x:f t="shared" si="54"/>
        <x:v>Нет</x:v>
      </x:c>
      <x:c r="DS4" s="489" t="str">
        <x:f t="shared" si="55"/>
        <x:v>Нет</x:v>
      </x:c>
      <x:c r="DT4" s="489" t="str">
        <x:f t="shared" si="56"/>
        <x:v>Нет</x:v>
      </x:c>
      <x:c r="DU4" s="489" t="str">
        <x:f t="shared" si="57"/>
        <x:v>Нет</x:v>
      </x:c>
      <x:c r="DV4" s="489" t="str">
        <x:f t="shared" si="58"/>
        <x:v>Нет</x:v>
      </x:c>
      <x:c r="DW4" s="489" t="str">
        <x:f t="shared" si="59"/>
        <x:v>Нет</x:v>
      </x:c>
      <x:c r="DX4" s="489" t="str">
        <x:f t="shared" si="60"/>
        <x:v>Нет</x:v>
      </x:c>
      <x:c r="DY4" s="489" t="str">
        <x:f t="shared" si="61"/>
        <x:v>Нет</x:v>
      </x:c>
      <x:c r="DZ4" s="489" t="str">
        <x:f t="shared" si="62"/>
        <x:v>Нет</x:v>
      </x:c>
      <x:c r="EA4" s="489" t="str">
        <x:f t="shared" si="63"/>
        <x:v>Нет</x:v>
      </x:c>
      <x:c r="EB4" s="489" t="str">
        <x:f t="shared" si="64"/>
        <x:v>Нет</x:v>
      </x:c>
      <x:c r="EC4" s="489" t="str">
        <x:f t="shared" si="65"/>
        <x:v>Нет</x:v>
      </x:c>
      <x:c r="ED4" s="489" t="str">
        <x:f t="shared" si="66"/>
        <x:v>Нет</x:v>
      </x:c>
      <x:c r="EE4" s="489" t="str">
        <x:f t="shared" si="67"/>
        <x:v>Нет</x:v>
      </x:c>
      <x:c r="EF4" s="489" t="str">
        <x:f t="shared" si="68"/>
        <x:v>Нет</x:v>
      </x:c>
      <x:c r="EG4" s="489" t="str">
        <x:f t="shared" si="69"/>
        <x:v>Нет</x:v>
      </x:c>
      <x:c r="EH4" s="489" t="str">
        <x:f t="shared" si="70"/>
        <x:v>Нет</x:v>
      </x:c>
      <x:c r="EI4" s="489" t="str">
        <x:f t="shared" si="71"/>
        <x:v>Нет</x:v>
      </x:c>
      <x:c r="EJ4" s="489" t="str">
        <x:f t="shared" si="72"/>
        <x:v>Нет</x:v>
      </x:c>
      <x:c r="EK4" s="489" t="str">
        <x:f t="shared" si="73"/>
        <x:v>Нет</x:v>
      </x:c>
      <x:c r="EL4" s="489" t="str">
        <x:f t="shared" si="74"/>
        <x:v>Нет</x:v>
      </x:c>
      <x:c r="EM4" s="489" t="str">
        <x:f t="shared" si="75"/>
        <x:v>Нет</x:v>
      </x:c>
      <x:c r="EN4" s="489" t="str">
        <x:f t="shared" si="76"/>
        <x:v>Нет</x:v>
      </x:c>
      <x:c r="EO4" s="489" t="str">
        <x:f t="shared" si="77"/>
        <x:v>Нет</x:v>
      </x:c>
      <x:c r="EP4" s="489" t="str">
        <x:f t="shared" si="78"/>
        <x:v>Нет</x:v>
      </x:c>
      <x:c r="EQ4" s="489" t="str">
        <x:f t="shared" si="79"/>
        <x:v>Нет</x:v>
      </x:c>
      <x:c r="ER4" s="489" t="str">
        <x:f t="shared" si="80"/>
        <x:v>Нет</x:v>
      </x:c>
      <x:c r="ES4" s="489" t="str">
        <x:f t="shared" si="81"/>
        <x:v>Нет</x:v>
      </x:c>
      <x:c r="ET4" s="489" t="str">
        <x:f t="shared" si="82"/>
        <x:v>Нет</x:v>
      </x:c>
      <x:c r="EU4" s="489" t="str">
        <x:f t="shared" si="83"/>
        <x:v>Нет</x:v>
      </x:c>
    </x:row>
    <x:row r="5" ht="22" hidden="1" customHeight="1">
      <x:c r="A5" s="488"/>
      <x:c r="B5" s="489" t="str">
        <x:f>IF(LEN(B7)&gt;0,B7,A5)</x:f>
        <x:v>ИТОГО Сумма Количество</x:v>
      </x:c>
      <x:c r="C5" s="489" t="str">
        <x:f>IF(LEN(C7)&gt;0,C7,B5)</x:f>
        <x:v>7</x:v>
      </x:c>
      <x:c r="D5" s="489" t="str">
        <x:f t="shared" ref="D5:BO5" si="87">IF(LEN(D7)&gt;0,D7,C5)</x:f>
        <x:v>7</x:v>
      </x:c>
      <x:c r="E5" s="489" t="str">
        <x:f t="shared" si="87"/>
        <x:v>ИТОГО Сумма Количество</x:v>
      </x:c>
      <x:c r="F5" s="489" t="str">
        <x:f t="shared" si="87"/>
        <x:v>ИТОГО Сумма Количество</x:v>
      </x:c>
      <x:c r="G5" s="489" t="str">
        <x:f t="shared" si="87"/>
        <x:v>ИТОГО Сумма Количество</x:v>
      </x:c>
      <x:c r="H5" s="489" t="str">
        <x:f t="shared" si="87"/>
        <x:v>ИТОГО Сумма Количество</x:v>
      </x:c>
      <x:c r="I5" s="489" t="str">
        <x:f t="shared" si="87"/>
        <x:v>ИТОГО Сумма Количество</x:v>
      </x:c>
      <x:c r="J5" s="489" t="str">
        <x:f t="shared" si="87"/>
        <x:v>ИТОГО Сумма Количество</x:v>
      </x:c>
      <x:c r="K5" s="489" t="str">
        <x:f t="shared" si="87"/>
        <x:v>ИТОГО Сумма Количество</x:v>
      </x:c>
      <x:c r="L5" s="489" t="str">
        <x:f t="shared" si="87"/>
        <x:v>ИТОГО Сумма Количество</x:v>
      </x:c>
      <x:c r="M5" s="489" t="str">
        <x:f t="shared" si="87"/>
        <x:v>ИТОГО Сумма Количество</x:v>
      </x:c>
      <x:c r="N5" s="489" t="str">
        <x:f t="shared" si="87"/>
        <x:v>ИТОГО Сумма Количество</x:v>
      </x:c>
      <x:c r="O5" s="489" t="str">
        <x:f t="shared" si="87"/>
        <x:v>ИТОГО Сумма Количество</x:v>
      </x:c>
      <x:c r="P5" s="489" t="str">
        <x:f t="shared" si="87"/>
        <x:v>ИТОГО Сумма Количество</x:v>
      </x:c>
      <x:c r="Q5" s="489" t="str">
        <x:f t="shared" si="87"/>
        <x:v>ИТОГО Сумма Количество</x:v>
      </x:c>
      <x:c r="R5" s="489" t="str">
        <x:f t="shared" si="87"/>
        <x:v>ИТОГО Сумма Количество</x:v>
      </x:c>
      <x:c r="S5" s="489" t="str">
        <x:f t="shared" si="87"/>
        <x:v>ИТОГО Сумма Количество</x:v>
      </x:c>
      <x:c r="T5" s="489" t="str">
        <x:f t="shared" si="87"/>
        <x:v>ИТОГО Сумма Количество</x:v>
      </x:c>
      <x:c r="U5" s="489" t="str">
        <x:f t="shared" si="87"/>
        <x:v>ИТОГО Сумма Количество</x:v>
      </x:c>
      <x:c r="V5" s="489" t="str">
        <x:f t="shared" si="87"/>
        <x:v>ИТОГО Сумма Количество</x:v>
      </x:c>
      <x:c r="W5" s="489" t="str">
        <x:f t="shared" si="87"/>
        <x:v>ИТОГО Сумма Количество</x:v>
      </x:c>
      <x:c r="X5" s="489" t="str">
        <x:f t="shared" si="87"/>
        <x:v>ИТОГО Сумма Количество</x:v>
      </x:c>
      <x:c r="Y5" s="489" t="str">
        <x:f t="shared" si="87"/>
        <x:v>ИТОГО Сумма Количество</x:v>
      </x:c>
      <x:c r="Z5" s="489" t="str">
        <x:f t="shared" si="87"/>
        <x:v>ИТОГО Сумма Количество</x:v>
      </x:c>
      <x:c r="AA5" s="489" t="str">
        <x:f t="shared" si="87"/>
        <x:v>ИТОГО Сумма Количество</x:v>
      </x:c>
      <x:c r="AB5" s="489" t="str">
        <x:f t="shared" si="87"/>
        <x:v>ИТОГО Сумма Количество</x:v>
      </x:c>
      <x:c r="AC5" s="489" t="str">
        <x:f t="shared" si="87"/>
        <x:v>ИТОГО Сумма Количество</x:v>
      </x:c>
      <x:c r="AD5" s="489" t="str">
        <x:f t="shared" si="87"/>
        <x:v>ИТОГО Сумма Количество</x:v>
      </x:c>
      <x:c r="AE5" s="489" t="str">
        <x:f t="shared" si="87"/>
        <x:v>ИТОГО Сумма Количество</x:v>
      </x:c>
      <x:c r="AF5" s="489" t="str">
        <x:f t="shared" si="87"/>
        <x:v>ИТОГО Сумма Количество</x:v>
      </x:c>
      <x:c r="AG5" s="489" t="str">
        <x:f t="shared" si="87"/>
        <x:v>ИТОГО Сумма Количество</x:v>
      </x:c>
      <x:c r="AH5" s="489" t="str">
        <x:f t="shared" si="87"/>
        <x:v>ИТОГО Сумма Количество</x:v>
      </x:c>
      <x:c r="AI5" s="489" t="str">
        <x:f t="shared" si="87"/>
        <x:v>ИТОГО Сумма Количество</x:v>
      </x:c>
      <x:c r="AJ5" s="489" t="str">
        <x:f t="shared" si="87"/>
        <x:v>ИТОГО Сумма Количество</x:v>
      </x:c>
      <x:c r="AK5" s="489" t="str">
        <x:f t="shared" si="87"/>
        <x:v>ИТОГО Сумма Количество</x:v>
      </x:c>
      <x:c r="AL5" s="489" t="str">
        <x:f t="shared" si="87"/>
        <x:v>ИТОГО Сумма Количество</x:v>
      </x:c>
      <x:c r="AM5" s="489" t="str">
        <x:f t="shared" si="87"/>
        <x:v>ИТОГО Сумма Количество</x:v>
      </x:c>
      <x:c r="AN5" s="489" t="str">
        <x:f t="shared" si="87"/>
        <x:v>ИТОГО Сумма Количество</x:v>
      </x:c>
      <x:c r="AO5" s="489" t="str">
        <x:f t="shared" si="87"/>
        <x:v>ИТОГО Сумма Количество</x:v>
      </x:c>
      <x:c r="AP5" s="489" t="str">
        <x:f t="shared" si="87"/>
        <x:v>ИТОГО Сумма Количество</x:v>
      </x:c>
      <x:c r="AQ5" s="489" t="str">
        <x:f t="shared" si="87"/>
        <x:v>ИТОГО Сумма Количество</x:v>
      </x:c>
      <x:c r="AR5" s="489" t="str">
        <x:f t="shared" si="87"/>
        <x:v>ИТОГО Сумма Количество</x:v>
      </x:c>
      <x:c r="AS5" s="489" t="str">
        <x:f t="shared" si="87"/>
        <x:v>ИТОГО Сумма Количество</x:v>
      </x:c>
      <x:c r="AT5" s="489" t="str">
        <x:f t="shared" si="87"/>
        <x:v>ИТОГО Сумма Количество</x:v>
      </x:c>
      <x:c r="AU5" s="489" t="str">
        <x:f t="shared" si="87"/>
        <x:v>ИТОГО Сумма Количество</x:v>
      </x:c>
      <x:c r="AV5" s="489" t="str">
        <x:f t="shared" si="87"/>
        <x:v>ИТОГО Сумма Количество</x:v>
      </x:c>
      <x:c r="AW5" s="489" t="str">
        <x:f t="shared" si="87"/>
        <x:v>ИТОГО Сумма Количество</x:v>
      </x:c>
      <x:c r="AX5" s="489" t="str">
        <x:f t="shared" si="87"/>
        <x:v>ИТОГО Сумма Количество</x:v>
      </x:c>
      <x:c r="AY5" s="489" t="str">
        <x:f t="shared" si="87"/>
        <x:v>ИТОГО Сумма Количество</x:v>
      </x:c>
      <x:c r="AZ5" s="489" t="str">
        <x:f t="shared" si="87"/>
        <x:v>ИТОГО Сумма Количество</x:v>
      </x:c>
      <x:c r="BA5" s="489" t="str">
        <x:f t="shared" si="87"/>
        <x:v>ИТОГО Сумма Количество</x:v>
      </x:c>
      <x:c r="BB5" s="489" t="str">
        <x:f t="shared" si="87"/>
        <x:v>ИТОГО Сумма Количество</x:v>
      </x:c>
      <x:c r="BC5" s="489" t="str">
        <x:f t="shared" si="87"/>
        <x:v>ИТОГО Сумма Количество</x:v>
      </x:c>
      <x:c r="BD5" s="489" t="str">
        <x:f t="shared" si="87"/>
        <x:v>ИТОГО Сумма Количество</x:v>
      </x:c>
      <x:c r="BE5" s="489" t="str">
        <x:f t="shared" si="87"/>
        <x:v>ИТОГО Сумма Сумма</x:v>
      </x:c>
      <x:c r="BF5" s="489" t="str">
        <x:f t="shared" si="87"/>
        <x:v>ИТОГО Сумма Сумма</x:v>
      </x:c>
      <x:c r="BG5" s="489" t="str">
        <x:f t="shared" si="87"/>
        <x:v>ИТОГО Сумма Сумма</x:v>
      </x:c>
      <x:c r="BH5" s="489" t="str">
        <x:f t="shared" si="87"/>
        <x:v>ИТОГО Сумма Сумма</x:v>
      </x:c>
      <x:c r="BI5" s="489" t="str">
        <x:f t="shared" si="87"/>
        <x:v>ИТОГО Сумма Сумма</x:v>
      </x:c>
      <x:c r="BJ5" s="489" t="str">
        <x:f t="shared" si="87"/>
        <x:v>ИТОГО Сумма Сумма</x:v>
      </x:c>
      <x:c r="BK5" s="489" t="str">
        <x:f t="shared" si="87"/>
        <x:v>ИТОГО Сумма Сумма</x:v>
      </x:c>
      <x:c r="BL5" s="489" t="str">
        <x:f t="shared" si="87"/>
        <x:v>ИТОГО Сумма Сумма</x:v>
      </x:c>
      <x:c r="BM5" s="489" t="str">
        <x:f t="shared" si="87"/>
        <x:v>ИТОГО Сумма Сумма</x:v>
      </x:c>
      <x:c r="BN5" s="489" t="str">
        <x:f t="shared" si="87"/>
        <x:v>ИТОГО Сумма Сумма</x:v>
      </x:c>
      <x:c r="BO5" s="489" t="str">
        <x:f t="shared" si="87"/>
        <x:v>ИТОГО Сумма Сумма</x:v>
      </x:c>
      <x:c r="BP5" s="489" t="str">
        <x:f t="shared" ref="BP5:BU5" si="88">IF(LEN(BP7)&gt;0,BP7,BO5)</x:f>
        <x:v>7</x:v>
      </x:c>
      <x:c r="BQ5" s="489" t="str">
        <x:f t="shared" si="88"/>
        <x:v>ИТОГО Сумма Сумма</x:v>
      </x:c>
      <x:c r="BR5" s="489" t="str">
        <x:f t="shared" si="88"/>
        <x:v>ИТОГО Сумма Сумма</x:v>
      </x:c>
      <x:c r="BS5" s="489" t="str">
        <x:f t="shared" si="88"/>
        <x:v>ИТОГО Сумма Сумма</x:v>
      </x:c>
      <x:c r="BT5" s="489" t="str">
        <x:f t="shared" si="88"/>
        <x:v>ИТОГО Сумма Сумма</x:v>
      </x:c>
      <x:c r="BU5" s="489" t="str">
        <x:f t="shared" si="88"/>
        <x:v>ИТОГО Сумма Сумма</x:v>
      </x:c>
      <x:c r="BV5" s="489" t="str">
        <x:f t="shared" ref="BV5" si="89">IF(LEN(BV7)&gt;0,BV7,BU5)</x:f>
        <x:v>7</x:v>
      </x:c>
      <x:c r="BW5" s="489" t="str">
        <x:f t="shared" ref="BW5" si="90">IF(LEN(BW7)&gt;0,BW7,BV5)</x:f>
        <x:v>7</x:v>
      </x:c>
      <x:c r="BX5" s="489" t="str">
        <x:f t="shared" ref="BX5" si="91">IF(LEN(BX7)&gt;0,BX7,BW5)</x:f>
        <x:v>7</x:v>
      </x:c>
      <x:c r="BY5" s="489" t="str">
        <x:f t="shared" ref="BY5" si="92">IF(LEN(BY7)&gt;0,BY7,BX5)</x:f>
        <x:v>7</x:v>
      </x:c>
      <x:c r="BZ5" s="489" t="str">
        <x:f t="shared" ref="BZ5" si="93">IF(LEN(BZ7)&gt;0,BZ7,BY5)</x:f>
        <x:v>7</x:v>
      </x:c>
      <x:c r="CA5" s="489" t="str">
        <x:f t="shared" ref="CA5" si="94">IF(LEN(CA7)&gt;0,CA7,BZ5)</x:f>
        <x:v>7</x:v>
      </x:c>
      <x:c r="CB5" s="489" t="str">
        <x:f t="shared" ref="CB5" si="95">IF(LEN(CB7)&gt;0,CB7,CA5)</x:f>
        <x:v>7</x:v>
      </x:c>
      <x:c r="CC5" s="489" t="str">
        <x:f t="shared" ref="CC5" si="96">IF(LEN(CC7)&gt;0,CC7,CB5)</x:f>
        <x:v>7</x:v>
      </x:c>
      <x:c r="CD5" s="489" t="str">
        <x:f t="shared" ref="CD5" si="97">IF(LEN(CD7)&gt;0,CD7,CC5)</x:f>
        <x:v>7</x:v>
      </x:c>
      <x:c r="CE5" s="489" t="str">
        <x:f t="shared" ref="CE5" si="98">IF(LEN(CE7)&gt;0,CE7,CD5)</x:f>
        <x:v>7</x:v>
      </x:c>
      <x:c r="CF5" s="489" t="str">
        <x:f t="shared" ref="CF5" si="99">IF(LEN(CF7)&gt;0,CF7,CE5)</x:f>
        <x:v>7</x:v>
      </x:c>
      <x:c r="CG5" s="489" t="str">
        <x:f t="shared" ref="CG5" si="100">IF(LEN(CG7)&gt;0,CG7,CF5)</x:f>
        <x:v>7</x:v>
      </x:c>
      <x:c r="CH5" s="489" t="str">
        <x:f t="shared" ref="CH5" si="101">IF(LEN(CH7)&gt;0,CH7,CG5)</x:f>
        <x:v>7</x:v>
      </x:c>
      <x:c r="CI5" s="489" t="str">
        <x:f t="shared" ref="CI5" si="102">IF(LEN(CI7)&gt;0,CI7,CH5)</x:f>
        <x:v>7</x:v>
      </x:c>
      <x:c r="CJ5" s="489" t="str">
        <x:f t="shared" ref="CJ5" si="103">IF(LEN(CJ7)&gt;0,CJ7,CI5)</x:f>
        <x:v>7</x:v>
      </x:c>
      <x:c r="CK5" s="489" t="str">
        <x:f t="shared" ref="CK5" si="104">IF(LEN(CK7)&gt;0,CK7,CJ5)</x:f>
        <x:v>7</x:v>
      </x:c>
      <x:c r="CL5" s="489" t="str">
        <x:f t="shared" ref="CL5" si="105">IF(LEN(CL7)&gt;0,CL7,CK5)</x:f>
        <x:v>7</x:v>
      </x:c>
      <x:c r="CM5" s="489" t="str">
        <x:f t="shared" ref="CM5" si="106">IF(LEN(CM7)&gt;0,CM7,CL5)</x:f>
        <x:v>7</x:v>
      </x:c>
      <x:c r="CN5" s="489" t="str">
        <x:f t="shared" ref="CN5" si="107">IF(LEN(CN7)&gt;0,CN7,CM5)</x:f>
        <x:v>7</x:v>
      </x:c>
      <x:c r="CO5" s="489" t="str">
        <x:f t="shared" ref="CO5" si="108">IF(LEN(CO7)&gt;0,CO7,CN5)</x:f>
        <x:v>7</x:v>
      </x:c>
      <x:c r="CP5" s="489" t="str">
        <x:f t="shared" ref="CP5" si="109">IF(LEN(CP7)&gt;0,CP7,CO5)</x:f>
        <x:v>7</x:v>
      </x:c>
      <x:c r="CQ5" s="489" t="str">
        <x:f t="shared" ref="CQ5" si="110">IF(LEN(CQ7)&gt;0,CQ7,CP5)</x:f>
        <x:v>7</x:v>
      </x:c>
      <x:c r="CR5" s="489" t="str">
        <x:f t="shared" ref="CR5" si="111">IF(LEN(CR7)&gt;0,CR7,CQ5)</x:f>
        <x:v>7</x:v>
      </x:c>
      <x:c r="CS5" s="489" t="str">
        <x:f t="shared" ref="CS5" si="112">IF(LEN(CS7)&gt;0,CS7,CR5)</x:f>
        <x:v>7</x:v>
      </x:c>
      <x:c r="CT5" s="489" t="str">
        <x:f t="shared" ref="CT5" si="113">IF(LEN(CT7)&gt;0,CT7,CS5)</x:f>
        <x:v>7</x:v>
      </x:c>
      <x:c r="CU5" s="489" t="str">
        <x:f t="shared" ref="CU5" si="114">IF(LEN(CU7)&gt;0,CU7,CT5)</x:f>
        <x:v>7</x:v>
      </x:c>
      <x:c r="CV5" s="489" t="str">
        <x:f t="shared" ref="CV5" si="115">IF(LEN(CV7)&gt;0,CV7,CU5)</x:f>
        <x:v>7</x:v>
      </x:c>
      <x:c r="CW5" s="489" t="str">
        <x:f t="shared" ref="CW5" si="116">IF(LEN(CW7)&gt;0,CW7,CV5)</x:f>
        <x:v>7</x:v>
      </x:c>
      <x:c r="CX5" s="489" t="str">
        <x:f t="shared" ref="CX5" si="117">IF(LEN(CX7)&gt;0,CX7,CW5)</x:f>
        <x:v>7</x:v>
      </x:c>
      <x:c r="CY5" s="489" t="str">
        <x:f t="shared" ref="CY5" si="118">IF(LEN(CY7)&gt;0,CY7,CX5)</x:f>
        <x:v>7</x:v>
      </x:c>
      <x:c r="CZ5" s="489" t="str">
        <x:f t="shared" ref="CZ5" si="119">IF(LEN(CZ7)&gt;0,CZ7,CY5)</x:f>
        <x:v>7</x:v>
      </x:c>
      <x:c r="DA5" s="489" t="str">
        <x:f t="shared" ref="DA5" si="120">IF(LEN(DA7)&gt;0,DA7,CZ5)</x:f>
        <x:v>7</x:v>
      </x:c>
      <x:c r="DB5" s="489" t="str">
        <x:f t="shared" ref="DB5" si="121">IF(LEN(DB7)&gt;0,DB7,DA5)</x:f>
        <x:v>7</x:v>
      </x:c>
      <x:c r="DC5" s="489" t="str">
        <x:f t="shared" ref="DC5" si="122">IF(LEN(DC7)&gt;0,DC7,DB5)</x:f>
        <x:v>7</x:v>
      </x:c>
      <x:c r="DD5" s="489" t="str">
        <x:f t="shared" ref="DD5" si="123">IF(LEN(DD7)&gt;0,DD7,DC5)</x:f>
        <x:v>7</x:v>
      </x:c>
      <x:c r="DE5" s="489" t="str">
        <x:f t="shared" ref="DE5" si="124">IF(LEN(DE7)&gt;0,DE7,DD5)</x:f>
        <x:v>7</x:v>
      </x:c>
      <x:c r="DF5" s="489" t="str">
        <x:f t="shared" ref="DF5" si="125">IF(LEN(DF7)&gt;0,DF7,DE5)</x:f>
        <x:v>7</x:v>
      </x:c>
      <x:c r="DG5" s="489" t="str">
        <x:f t="shared" ref="DG5" si="126">IF(LEN(DG7)&gt;0,DG7,DF5)</x:f>
        <x:v>7</x:v>
      </x:c>
      <x:c r="DH5" s="489" t="str">
        <x:f t="shared" ref="DH5" si="127">IF(LEN(DH7)&gt;0,DH7,DG5)</x:f>
        <x:v>Подитоги:</x:v>
      </x:c>
      <x:c r="DI5" s="489" t="str">
        <x:f t="shared" ref="DI5" si="128">IF(LEN(DI7)&gt;0,DI7,DH5)</x:f>
        <x:v>7</x:v>
      </x:c>
      <x:c r="DJ5" s="489" t="str">
        <x:f t="shared" ref="DJ5" si="129">IF(LEN(DJ7)&gt;0,DJ7,DI5)</x:f>
        <x:v>7</x:v>
      </x:c>
      <x:c r="DK5" s="489" t="str">
        <x:f t="shared" ref="DK5" si="130">IF(LEN(DK7)&gt;0,DK7,DJ5)</x:f>
        <x:v>7</x:v>
      </x:c>
      <x:c r="DL5" s="489" t="str">
        <x:f t="shared" ref="DL5" si="131">IF(LEN(DL7)&gt;0,DL7,DK5)</x:f>
        <x:v>7</x:v>
      </x:c>
      <x:c r="DM5" s="489" t="str">
        <x:f t="shared" ref="DM5" si="132">IF(LEN(DM7)&gt;0,DM7,DL5)</x:f>
        <x:v>7</x:v>
      </x:c>
      <x:c r="DN5" s="489" t="str">
        <x:f t="shared" ref="DN5" si="133">IF(LEN(DN7)&gt;0,DN7,DM5)</x:f>
        <x:v>7</x:v>
      </x:c>
      <x:c r="DO5" s="489" t="str">
        <x:f t="shared" ref="DO5" si="134">IF(LEN(DO7)&gt;0,DO7,DN5)</x:f>
        <x:v>7</x:v>
      </x:c>
      <x:c r="DP5" s="489" t="str">
        <x:f t="shared" ref="DP5" si="135">IF(LEN(DP7)&gt;0,DP7,DO5)</x:f>
        <x:v>7</x:v>
      </x:c>
      <x:c r="DQ5" s="489" t="str">
        <x:f t="shared" ref="DQ5" si="136">IF(LEN(DQ7)&gt;0,DQ7,DP5)</x:f>
        <x:v>7</x:v>
      </x:c>
      <x:c r="DR5" s="489" t="str">
        <x:f t="shared" ref="DR5" si="137">IF(LEN(DR7)&gt;0,DR7,DQ5)</x:f>
        <x:v>7</x:v>
      </x:c>
      <x:c r="DS5" s="489" t="str">
        <x:f t="shared" ref="DS5" si="138">IF(LEN(DS7)&gt;0,DS7,DR5)</x:f>
        <x:v>7</x:v>
      </x:c>
      <x:c r="DT5" s="489" t="str">
        <x:f t="shared" ref="DT5" si="139">IF(LEN(DT7)&gt;0,DT7,DS5)</x:f>
        <x:v>7</x:v>
      </x:c>
      <x:c r="DU5" s="489" t="str">
        <x:f t="shared" ref="DU5" si="140">IF(LEN(DU7)&gt;0,DU7,DT5)</x:f>
        <x:v>7</x:v>
      </x:c>
      <x:c r="DV5" s="489" t="str">
        <x:f t="shared" ref="DV5" si="141">IF(LEN(DV7)&gt;0,DV7,DU5)</x:f>
        <x:v>7</x:v>
      </x:c>
      <x:c r="DW5" s="489" t="str">
        <x:f t="shared" ref="DW5" si="142">IF(LEN(DW7)&gt;0,DW7,DV5)</x:f>
        <x:v>7</x:v>
      </x:c>
      <x:c r="DX5" s="489" t="str">
        <x:f t="shared" ref="DX5" si="143">IF(LEN(DX7)&gt;0,DX7,DW5)</x:f>
        <x:v>7</x:v>
      </x:c>
      <x:c r="DY5" s="489" t="str">
        <x:f t="shared" ref="DY5" si="144">IF(LEN(DY7)&gt;0,DY7,DX5)</x:f>
        <x:v>7</x:v>
      </x:c>
      <x:c r="DZ5" s="489" t="str">
        <x:f t="shared" ref="DZ5" si="145">IF(LEN(DZ7)&gt;0,DZ7,DY5)</x:f>
        <x:v>7</x:v>
      </x:c>
      <x:c r="EA5" s="489" t="str">
        <x:f t="shared" ref="EA5" si="146">IF(LEN(EA7)&gt;0,EA7,DZ5)</x:f>
        <x:v>7</x:v>
      </x:c>
      <x:c r="EB5" s="489" t="str">
        <x:f t="shared" ref="EB5" si="147">IF(LEN(EB7)&gt;0,EB7,EA5)</x:f>
        <x:v>7</x:v>
      </x:c>
      <x:c r="EC5" s="489" t="str">
        <x:f t="shared" ref="EC5" si="148">IF(LEN(EC7)&gt;0,EC7,EB5)</x:f>
        <x:v>7</x:v>
      </x:c>
      <x:c r="ED5" s="489" t="str">
        <x:f t="shared" ref="ED5" si="149">IF(LEN(ED7)&gt;0,ED7,EC5)</x:f>
        <x:v>7</x:v>
      </x:c>
      <x:c r="EE5" s="489" t="str">
        <x:f t="shared" ref="EE5" si="150">IF(LEN(EE7)&gt;0,EE7,ED5)</x:f>
        <x:v>7</x:v>
      </x:c>
      <x:c r="EF5" s="489" t="str">
        <x:f t="shared" ref="EF5" si="151">IF(LEN(EF7)&gt;0,EF7,EE5)</x:f>
        <x:v>7</x:v>
      </x:c>
      <x:c r="EG5" s="489" t="str">
        <x:f t="shared" ref="EG5" si="152">IF(LEN(EG7)&gt;0,EG7,EF5)</x:f>
        <x:v>7</x:v>
      </x:c>
      <x:c r="EH5" s="489" t="str">
        <x:f t="shared" ref="EH5" si="153">IF(LEN(EH7)&gt;0,EH7,EG5)</x:f>
        <x:v>7</x:v>
      </x:c>
      <x:c r="EI5" s="489" t="str">
        <x:f t="shared" ref="EI5" si="154">IF(LEN(EI7)&gt;0,EI7,EH5)</x:f>
        <x:v>7</x:v>
      </x:c>
      <x:c r="EJ5" s="489" t="str">
        <x:f t="shared" ref="EJ5" si="155">IF(LEN(EJ7)&gt;0,EJ7,EI5)</x:f>
        <x:v>7</x:v>
      </x:c>
      <x:c r="EK5" s="489" t="str">
        <x:f t="shared" ref="EK5" si="156">IF(LEN(EK7)&gt;0,EK7,EJ5)</x:f>
        <x:v>7</x:v>
      </x:c>
      <x:c r="EL5" s="489" t="str">
        <x:f t="shared" ref="EL5" si="157">IF(LEN(EL7)&gt;0,EL7,EK5)</x:f>
        <x:v>7</x:v>
      </x:c>
      <x:c r="EM5" s="489" t="str">
        <x:f t="shared" ref="EM5" si="158">IF(LEN(EM7)&gt;0,EM7,EL5)</x:f>
        <x:v>7</x:v>
      </x:c>
      <x:c r="EN5" s="489" t="str">
        <x:f t="shared" ref="EN5" si="159">IF(LEN(EN7)&gt;0,EN7,EM5)</x:f>
        <x:v>7</x:v>
      </x:c>
      <x:c r="EO5" s="489" t="str">
        <x:f t="shared" ref="EO5" si="160">IF(LEN(EO7)&gt;0,EO7,EN5)</x:f>
        <x:v>7</x:v>
      </x:c>
      <x:c r="EP5" s="489" t="str">
        <x:f t="shared" ref="EP5" si="161">IF(LEN(EP7)&gt;0,EP7,EO5)</x:f>
        <x:v>7</x:v>
      </x:c>
      <x:c r="EQ5" s="489" t="str">
        <x:f t="shared" ref="EQ5" si="162">IF(LEN(EQ7)&gt;0,EQ7,EP5)</x:f>
        <x:v>7</x:v>
      </x:c>
      <x:c r="ER5" s="489" t="str">
        <x:f t="shared" ref="ER5" si="163">IF(LEN(ER7)&gt;0,ER7,EQ5)</x:f>
        <x:v>7</x:v>
      </x:c>
      <x:c r="ES5" s="489" t="str">
        <x:f t="shared" ref="ES5" si="164">IF(LEN(ES7)&gt;0,ES7,ER5)</x:f>
        <x:v>7</x:v>
      </x:c>
      <x:c r="ET5" s="489" t="str">
        <x:f t="shared" ref="ET5" si="165">IF(LEN(ET7)&gt;0,ET7,ES5)</x:f>
        <x:v>7</x:v>
      </x:c>
      <x:c r="EU5" s="489" t="str">
        <x:f t="shared" ref="EU5" si="166">IF(LEN(EU7)&gt;0,EU7,ET5)</x:f>
        <x:v>7</x:v>
      </x:c>
    </x:row>
    <x:row r="6" ht="22" customHeight="1">
      <x:c r="A6" s="490"/>
      <x:c r="B6" s="490" t="s">
        <x:v>131</x:v>
      </x:c>
      <x:c r="C6" s="490" t="s">
        <x:v>132</x:v>
      </x:c>
      <x:c r="D6" s="490" t="s">
        <x:v>133</x:v>
      </x:c>
      <x:c r="E6" s="491"/>
      <x:c r="F6" s="491"/>
      <x:c r="G6" s="491"/>
      <x:c r="H6" s="491"/>
      <x:c r="I6" s="491"/>
      <x:c r="J6" s="491"/>
      <x:c r="K6" s="491"/>
      <x:c r="L6" s="491"/>
      <x:c r="M6" s="491"/>
      <x:c r="N6" s="491"/>
      <x:c r="O6" s="491"/>
      <x:c r="P6" s="491"/>
      <x:c r="Q6" s="491"/>
      <x:c r="R6" s="491"/>
      <x:c r="S6" s="491"/>
      <x:c r="T6" s="491"/>
      <x:c r="U6" s="491"/>
      <x:c r="V6" s="491"/>
      <x:c r="W6" s="491"/>
      <x:c r="X6" s="491"/>
      <x:c r="Y6" s="491"/>
      <x:c r="Z6" s="491"/>
      <x:c r="AA6" s="491"/>
      <x:c r="AB6" s="491"/>
      <x:c r="AC6" s="491"/>
      <x:c r="AD6" s="491"/>
      <x:c r="AE6" s="491"/>
      <x:c r="AF6" s="491"/>
      <x:c r="AG6" s="491"/>
      <x:c r="AH6" s="491"/>
      <x:c r="AI6" s="491"/>
      <x:c r="AJ6" s="491"/>
      <x:c r="AK6" s="491"/>
      <x:c r="AL6" s="491"/>
      <x:c r="AM6" s="491"/>
      <x:c r="AN6" s="491"/>
      <x:c r="AO6" s="491"/>
      <x:c r="AP6" s="491"/>
      <x:c r="AQ6" s="491"/>
      <x:c r="AR6" s="491"/>
      <x:c r="AS6" s="491"/>
      <x:c r="AT6" s="491"/>
      <x:c r="AU6" s="491"/>
      <x:c r="AV6" s="491"/>
      <x:c r="AW6" s="491"/>
      <x:c r="AX6" s="491"/>
      <x:c r="AY6" s="491"/>
      <x:c r="AZ6" s="491"/>
      <x:c r="BA6" s="491"/>
      <x:c r="BB6" s="491"/>
      <x:c r="BC6" s="491"/>
      <x:c r="BD6" s="491"/>
      <x:c r="BE6" s="491"/>
      <x:c r="BF6" s="491"/>
      <x:c r="BG6" s="491"/>
      <x:c r="BH6" s="491"/>
      <x:c r="BI6" s="491"/>
      <x:c r="BJ6" s="491"/>
      <x:c r="BK6" s="491"/>
      <x:c r="BL6" s="491"/>
      <x:c r="BM6" s="491"/>
      <x:c r="BN6" s="491"/>
      <x:c r="BO6" s="491"/>
      <x:c r="BP6" s="491"/>
      <x:c r="BQ6" s="491"/>
      <x:c r="BR6" s="491"/>
      <x:c r="BS6" s="491"/>
      <x:c r="BT6" s="491"/>
      <x:c r="BU6" s="491"/>
      <x:c r="BV6" s="491"/>
      <x:c r="BW6" s="491"/>
      <x:c r="BX6" s="491"/>
      <x:c r="BY6" s="491"/>
      <x:c r="BZ6" s="491"/>
      <x:c r="CA6" s="491"/>
      <x:c r="CB6" s="491"/>
      <x:c r="CC6" s="491"/>
      <x:c r="CD6" s="491"/>
      <x:c r="CE6" s="491"/>
      <x:c r="CF6" s="491"/>
      <x:c r="CG6" s="491"/>
      <x:c r="CH6" s="491"/>
      <x:c r="CI6" s="491"/>
      <x:c r="CJ6" s="491"/>
      <x:c r="CK6" s="491"/>
      <x:c r="CL6" s="491"/>
      <x:c r="CM6" s="491"/>
      <x:c r="CN6" s="491"/>
      <x:c r="CO6" s="491"/>
      <x:c r="CP6" s="491"/>
      <x:c r="CQ6" s="491"/>
      <x:c r="CR6" s="491"/>
      <x:c r="CS6" s="491"/>
      <x:c r="CT6" s="491"/>
      <x:c r="CU6" s="491"/>
      <x:c r="CV6" s="491"/>
      <x:c r="CW6" s="491"/>
      <x:c r="CX6" s="491"/>
      <x:c r="CY6" s="491"/>
      <x:c r="CZ6" s="491"/>
      <x:c r="DA6" s="491"/>
      <x:c r="DB6" s="491"/>
      <x:c r="DC6" s="491"/>
      <x:c r="DD6" s="491"/>
      <x:c r="DE6" s="491"/>
      <x:c r="DF6" s="491"/>
      <x:c r="DG6" s="491"/>
      <x:c r="DH6" s="491"/>
      <x:c r="DI6" s="491"/>
      <x:c r="DJ6" s="491"/>
      <x:c r="DK6" s="491"/>
      <x:c r="DL6" s="491"/>
      <x:c r="DM6" s="491"/>
      <x:c r="DN6" s="491"/>
      <x:c r="DO6" s="491"/>
      <x:c r="DP6" s="491"/>
      <x:c r="DQ6" s="491"/>
      <x:c r="DR6" s="491"/>
      <x:c r="DS6" s="491"/>
      <x:c r="DT6" s="491"/>
      <x:c r="DU6" s="491"/>
      <x:c r="DV6" s="491"/>
      <x:c r="DW6" s="491"/>
      <x:c r="DX6" s="491"/>
      <x:c r="DY6" s="491"/>
      <x:c r="DZ6" s="491"/>
      <x:c r="EA6" s="491"/>
      <x:c r="EB6" s="491"/>
      <x:c r="EC6" s="491"/>
      <x:c r="ED6" s="491"/>
      <x:c r="EE6" s="491"/>
      <x:c r="EF6" s="491"/>
      <x:c r="EG6" s="491"/>
      <x:c r="EH6" s="491"/>
      <x:c r="EI6" s="491"/>
      <x:c r="EJ6" s="491"/>
      <x:c r="EK6" s="491"/>
      <x:c r="EL6" s="491"/>
      <x:c r="EM6" s="491"/>
      <x:c r="EN6" s="491"/>
      <x:c r="EO6" s="491"/>
      <x:c r="EP6" s="491"/>
      <x:c r="EQ6" s="491"/>
      <x:c r="ER6" s="491"/>
      <x:c r="ES6" s="491"/>
      <x:c r="ET6" s="491"/>
      <x:c r="EU6" s="491"/>
    </x:row>
    <x:row r="7" s="87" customFormat="1" ht="22" customHeight="1">
      <x:c r="A7" s="492"/>
      <x:c r="B7" s="493" t="s">
        <x:v>134</x:v>
      </x:c>
      <x:c r="C7" s="493" t="s">
        <x:v>7</x:v>
      </x:c>
      <x:c r="D7" s="493" t="s">
        <x:v>7</x:v>
      </x:c>
      <x:c r="E7" s="493" t="s">
        <x:v>7</x:v>
      </x:c>
      <x:c r="F7" s="493" t="s">
        <x:v>7</x:v>
      </x:c>
      <x:c r="G7" s="493" t="s">
        <x:v>7</x:v>
      </x:c>
      <x:c r="H7" s="493" t="s">
        <x:v>7</x:v>
      </x:c>
      <x:c r="I7" s="493" t="s">
        <x:v>7</x:v>
      </x:c>
      <x:c r="J7" s="493" t="s">
        <x:v>7</x:v>
      </x:c>
      <x:c r="K7" s="493" t="s">
        <x:v>7</x:v>
      </x:c>
      <x:c r="L7" s="493" t="s">
        <x:v>7</x:v>
      </x:c>
      <x:c r="M7" s="493" t="s">
        <x:v>7</x:v>
      </x:c>
      <x:c r="N7" s="493" t="s">
        <x:v>7</x:v>
      </x:c>
      <x:c r="O7" s="493" t="s">
        <x:v>7</x:v>
      </x:c>
      <x:c r="P7" s="493" t="s">
        <x:v>7</x:v>
      </x:c>
      <x:c r="Q7" s="493" t="s">
        <x:v>7</x:v>
      </x:c>
      <x:c r="R7" s="493" t="s">
        <x:v>7</x:v>
      </x:c>
      <x:c r="S7" s="493" t="s">
        <x:v>7</x:v>
      </x:c>
      <x:c r="T7" s="494" t="s">
        <x:v>7</x:v>
      </x:c>
      <x:c r="U7" s="494" t="s">
        <x:v>7</x:v>
      </x:c>
      <x:c r="V7" s="494" t="s">
        <x:v>7</x:v>
      </x:c>
      <x:c r="W7" s="494" t="s">
        <x:v>7</x:v>
      </x:c>
      <x:c r="X7" s="494" t="s">
        <x:v>7</x:v>
      </x:c>
      <x:c r="Y7" s="494" t="s">
        <x:v>7</x:v>
      </x:c>
      <x:c r="Z7" s="494" t="s">
        <x:v>7</x:v>
      </x:c>
      <x:c r="AA7" s="494" t="s">
        <x:v>7</x:v>
      </x:c>
      <x:c r="AB7" s="494" t="s">
        <x:v>7</x:v>
      </x:c>
      <x:c r="AC7" s="494" t="s">
        <x:v>7</x:v>
      </x:c>
      <x:c r="AD7" s="494" t="s">
        <x:v>7</x:v>
      </x:c>
      <x:c r="AE7" s="494" t="s">
        <x:v>7</x:v>
      </x:c>
      <x:c r="AF7" s="494" t="s">
        <x:v>7</x:v>
      </x:c>
      <x:c r="AG7" s="494" t="s">
        <x:v>7</x:v>
      </x:c>
      <x:c r="AH7" s="494" t="s">
        <x:v>7</x:v>
      </x:c>
      <x:c r="AI7" s="494" t="s">
        <x:v>7</x:v>
      </x:c>
      <x:c r="AJ7" s="494" t="s">
        <x:v>7</x:v>
      </x:c>
      <x:c r="AK7" s="494" t="s">
        <x:v>7</x:v>
      </x:c>
      <x:c r="AL7" s="494" t="s">
        <x:v>7</x:v>
      </x:c>
      <x:c r="AM7" s="494" t="s">
        <x:v>7</x:v>
      </x:c>
      <x:c r="AN7" s="494" t="s">
        <x:v>7</x:v>
      </x:c>
      <x:c r="AO7" s="494" t="s">
        <x:v>7</x:v>
      </x:c>
      <x:c r="AP7" s="494" t="s">
        <x:v>7</x:v>
      </x:c>
      <x:c r="AQ7" s="494" t="s">
        <x:v>7</x:v>
      </x:c>
      <x:c r="AR7" s="494" t="s">
        <x:v>7</x:v>
      </x:c>
      <x:c r="AS7" s="494" t="s">
        <x:v>7</x:v>
      </x:c>
      <x:c r="AT7" s="494" t="s">
        <x:v>7</x:v>
      </x:c>
      <x:c r="AU7" s="494" t="s">
        <x:v>7</x:v>
      </x:c>
      <x:c r="AV7" s="494" t="s">
        <x:v>7</x:v>
      </x:c>
      <x:c r="AW7" s="494" t="s">
        <x:v>7</x:v>
      </x:c>
      <x:c r="AX7" s="494" t="s">
        <x:v>7</x:v>
      </x:c>
      <x:c r="AY7" s="494" t="s">
        <x:v>7</x:v>
      </x:c>
      <x:c r="AZ7" s="494" t="s">
        <x:v>7</x:v>
      </x:c>
      <x:c r="BA7" s="494" t="s">
        <x:v>7</x:v>
      </x:c>
      <x:c r="BB7" s="494" t="s">
        <x:v>7</x:v>
      </x:c>
      <x:c r="BC7" s="494" t="s">
        <x:v>7</x:v>
      </x:c>
      <x:c r="BD7" s="494" t="s">
        <x:v>7</x:v>
      </x:c>
      <x:c r="BE7" s="494" t="s">
        <x:v>135</x:v>
      </x:c>
      <x:c r="BF7" s="494" t="s">
        <x:v>7</x:v>
      </x:c>
      <x:c r="BG7" s="494" t="s">
        <x:v>7</x:v>
      </x:c>
      <x:c r="BH7" s="494" t="s">
        <x:v>7</x:v>
      </x:c>
      <x:c r="BI7" s="494" t="s">
        <x:v>7</x:v>
      </x:c>
      <x:c r="BJ7" s="494" t="s">
        <x:v>7</x:v>
      </x:c>
      <x:c r="BK7" s="494" t="s">
        <x:v>7</x:v>
      </x:c>
      <x:c r="BL7" s="494" t="s">
        <x:v>7</x:v>
      </x:c>
      <x:c r="BM7" s="494" t="s">
        <x:v>7</x:v>
      </x:c>
      <x:c r="BN7" s="494" t="s">
        <x:v>7</x:v>
      </x:c>
      <x:c r="BO7" s="494" t="s">
        <x:v>7</x:v>
      </x:c>
      <x:c r="BP7" s="494" t="s">
        <x:v>7</x:v>
      </x:c>
      <x:c r="BQ7" s="494" t="s">
        <x:v>7</x:v>
      </x:c>
      <x:c r="BR7" s="494" t="s">
        <x:v>7</x:v>
      </x:c>
      <x:c r="BS7" s="494" t="s">
        <x:v>7</x:v>
      </x:c>
      <x:c r="BT7" s="494" t="s">
        <x:v>7</x:v>
      </x:c>
      <x:c r="BU7" s="494" t="s">
        <x:v>7</x:v>
      </x:c>
      <x:c r="BV7" s="494" t="s">
        <x:v>7</x:v>
      </x:c>
      <x:c r="BW7" s="494" t="s">
        <x:v>7</x:v>
      </x:c>
      <x:c r="BX7" s="494" t="s">
        <x:v>7</x:v>
      </x:c>
      <x:c r="BY7" s="494" t="s">
        <x:v>7</x:v>
      </x:c>
      <x:c r="BZ7" s="494" t="s">
        <x:v>7</x:v>
      </x:c>
      <x:c r="CA7" s="494" t="s">
        <x:v>7</x:v>
      </x:c>
      <x:c r="CB7" s="494" t="s">
        <x:v>7</x:v>
      </x:c>
      <x:c r="CC7" s="494" t="s">
        <x:v>7</x:v>
      </x:c>
      <x:c r="CD7" s="494" t="s">
        <x:v>7</x:v>
      </x:c>
      <x:c r="CE7" s="494" t="s">
        <x:v>7</x:v>
      </x:c>
      <x:c r="CF7" s="494" t="s">
        <x:v>7</x:v>
      </x:c>
      <x:c r="CG7" s="494" t="s">
        <x:v>7</x:v>
      </x:c>
      <x:c r="CH7" s="494" t="s">
        <x:v>7</x:v>
      </x:c>
      <x:c r="CI7" s="494" t="s">
        <x:v>7</x:v>
      </x:c>
      <x:c r="CJ7" s="494" t="s">
        <x:v>7</x:v>
      </x:c>
      <x:c r="CK7" s="494" t="s">
        <x:v>7</x:v>
      </x:c>
      <x:c r="CL7" s="494" t="s">
        <x:v>7</x:v>
      </x:c>
      <x:c r="CM7" s="494" t="s">
        <x:v>7</x:v>
      </x:c>
      <x:c r="CN7" s="494" t="s">
        <x:v>7</x:v>
      </x:c>
      <x:c r="CO7" s="494" t="s">
        <x:v>7</x:v>
      </x:c>
      <x:c r="CP7" s="494" t="s">
        <x:v>7</x:v>
      </x:c>
      <x:c r="CQ7" s="494" t="s">
        <x:v>7</x:v>
      </x:c>
      <x:c r="CR7" s="494" t="s">
        <x:v>7</x:v>
      </x:c>
      <x:c r="CS7" s="494" t="s">
        <x:v>7</x:v>
      </x:c>
      <x:c r="CT7" s="494" t="s">
        <x:v>7</x:v>
      </x:c>
      <x:c r="CU7" s="494" t="s">
        <x:v>7</x:v>
      </x:c>
      <x:c r="CV7" s="494" t="s">
        <x:v>7</x:v>
      </x:c>
      <x:c r="CW7" s="494" t="s">
        <x:v>7</x:v>
      </x:c>
      <x:c r="CX7" s="494" t="s">
        <x:v>7</x:v>
      </x:c>
      <x:c r="CY7" s="494" t="s">
        <x:v>7</x:v>
      </x:c>
      <x:c r="CZ7" s="494" t="s">
        <x:v>7</x:v>
      </x:c>
      <x:c r="DA7" s="494" t="s">
        <x:v>7</x:v>
      </x:c>
      <x:c r="DB7" s="494" t="s">
        <x:v>7</x:v>
      </x:c>
      <x:c r="DC7" s="494" t="s">
        <x:v>7</x:v>
      </x:c>
      <x:c r="DD7" s="494" t="s">
        <x:v>7</x:v>
      </x:c>
      <x:c r="DE7" s="494" t="s">
        <x:v>7</x:v>
      </x:c>
      <x:c r="DF7" s="494" t="s">
        <x:v>7</x:v>
      </x:c>
      <x:c r="DG7" s="494" t="s">
        <x:v>7</x:v>
      </x:c>
      <x:c r="DH7" s="494" t="s">
        <x:v>136</x:v>
      </x:c>
      <x:c r="DI7" s="494" t="s">
        <x:v>7</x:v>
      </x:c>
      <x:c r="DJ7" s="495"/>
      <x:c r="DK7" s="495"/>
      <x:c r="DL7" s="495"/>
      <x:c r="DM7" s="495"/>
      <x:c r="DN7" s="495"/>
      <x:c r="DO7" s="495"/>
      <x:c r="DP7" s="495"/>
      <x:c r="DQ7" s="495"/>
      <x:c r="DR7" s="495"/>
      <x:c r="DS7" s="495"/>
      <x:c r="DT7" s="495"/>
      <x:c r="DU7" s="495"/>
      <x:c r="DV7" s="495"/>
      <x:c r="DW7" s="495"/>
      <x:c r="DX7" s="495"/>
      <x:c r="DY7" s="495"/>
      <x:c r="DZ7" s="495"/>
      <x:c r="EA7" s="495"/>
      <x:c r="EB7" s="495"/>
      <x:c r="EC7" s="495"/>
      <x:c r="ED7" s="495"/>
      <x:c r="EE7" s="495"/>
      <x:c r="EF7" s="495"/>
      <x:c r="EG7" s="495"/>
      <x:c r="EH7" s="495"/>
      <x:c r="EI7" s="495"/>
      <x:c r="EJ7" s="495"/>
      <x:c r="EK7" s="495"/>
      <x:c r="EL7" s="495"/>
      <x:c r="EM7" s="495"/>
      <x:c r="EN7" s="495"/>
      <x:c r="EO7" s="495"/>
      <x:c r="EP7" s="495"/>
      <x:c r="EQ7" s="495"/>
      <x:c r="ER7" s="495"/>
      <x:c r="ES7" s="495"/>
      <x:c r="ET7" s="495"/>
      <x:c r="EU7" s="495"/>
    </x:row>
    <x:row r="8" s="89" customFormat="1" ht="22" customHeight="1">
      <x:c r="A8" s="496"/>
      <x:c r="B8" s="497" t="s">
        <x:v>7</x:v>
      </x:c>
      <x:c r="C8" s="497" t="s">
        <x:v>6</x:v>
      </x:c>
      <x:c r="D8" s="497" t="s">
        <x:v>7</x:v>
      </x:c>
      <x:c r="E8" s="497" t="s">
        <x:v>7</x:v>
      </x:c>
      <x:c r="F8" s="497" t="s">
        <x:v>7</x:v>
      </x:c>
      <x:c r="G8" s="497" t="s">
        <x:v>7</x:v>
      </x:c>
      <x:c r="H8" s="497" t="s">
        <x:v>7</x:v>
      </x:c>
      <x:c r="I8" s="497" t="s">
        <x:v>7</x:v>
      </x:c>
      <x:c r="J8" s="497" t="s">
        <x:v>7</x:v>
      </x:c>
      <x:c r="K8" s="497" t="s">
        <x:v>7</x:v>
      </x:c>
      <x:c r="L8" s="497" t="s">
        <x:v>7</x:v>
      </x:c>
      <x:c r="M8" s="497" t="s">
        <x:v>7</x:v>
      </x:c>
      <x:c r="N8" s="497" t="s">
        <x:v>7</x:v>
      </x:c>
      <x:c r="O8" s="497" t="s">
        <x:v>7</x:v>
      </x:c>
      <x:c r="P8" s="497" t="s">
        <x:v>7</x:v>
      </x:c>
      <x:c r="Q8" s="497" t="s">
        <x:v>7</x:v>
      </x:c>
      <x:c r="R8" s="497" t="s">
        <x:v>7</x:v>
      </x:c>
      <x:c r="S8" s="497" t="s">
        <x:v>7</x:v>
      </x:c>
      <x:c r="T8" s="498" t="s">
        <x:v>7</x:v>
      </x:c>
      <x:c r="U8" s="498" t="s">
        <x:v>7</x:v>
      </x:c>
      <x:c r="V8" s="498" t="s">
        <x:v>7</x:v>
      </x:c>
      <x:c r="W8" s="498" t="s">
        <x:v>7</x:v>
      </x:c>
      <x:c r="X8" s="498" t="s">
        <x:v>7</x:v>
      </x:c>
      <x:c r="Y8" s="498" t="s">
        <x:v>7</x:v>
      </x:c>
      <x:c r="Z8" s="498" t="s">
        <x:v>7</x:v>
      </x:c>
      <x:c r="AA8" s="498" t="s">
        <x:v>7</x:v>
      </x:c>
      <x:c r="AB8" s="498" t="s">
        <x:v>7</x:v>
      </x:c>
      <x:c r="AC8" s="498" t="s">
        <x:v>7</x:v>
      </x:c>
      <x:c r="AD8" s="498" t="s">
        <x:v>8</x:v>
      </x:c>
      <x:c r="AE8" s="498" t="s">
        <x:v>7</x:v>
      </x:c>
      <x:c r="AF8" s="498" t="s">
        <x:v>7</x:v>
      </x:c>
      <x:c r="AG8" s="498" t="s">
        <x:v>7</x:v>
      </x:c>
      <x:c r="AH8" s="498" t="s">
        <x:v>7</x:v>
      </x:c>
      <x:c r="AI8" s="498" t="s">
        <x:v>7</x:v>
      </x:c>
      <x:c r="AJ8" s="498" t="s">
        <x:v>7</x:v>
      </x:c>
      <x:c r="AK8" s="498" t="s">
        <x:v>7</x:v>
      </x:c>
      <x:c r="AL8" s="498" t="s">
        <x:v>7</x:v>
      </x:c>
      <x:c r="AM8" s="498" t="s">
        <x:v>7</x:v>
      </x:c>
      <x:c r="AN8" s="498" t="s">
        <x:v>7</x:v>
      </x:c>
      <x:c r="AO8" s="498" t="s">
        <x:v>7</x:v>
      </x:c>
      <x:c r="AP8" s="498" t="s">
        <x:v>7</x:v>
      </x:c>
      <x:c r="AQ8" s="498" t="s">
        <x:v>7</x:v>
      </x:c>
      <x:c r="AR8" s="498" t="s">
        <x:v>7</x:v>
      </x:c>
      <x:c r="AS8" s="498" t="s">
        <x:v>7</x:v>
      </x:c>
      <x:c r="AT8" s="498" t="s">
        <x:v>7</x:v>
      </x:c>
      <x:c r="AU8" s="498" t="s">
        <x:v>7</x:v>
      </x:c>
      <x:c r="AV8" s="498" t="s">
        <x:v>7</x:v>
      </x:c>
      <x:c r="AW8" s="498" t="s">
        <x:v>7</x:v>
      </x:c>
      <x:c r="AX8" s="498" t="s">
        <x:v>7</x:v>
      </x:c>
      <x:c r="AY8" s="498" t="s">
        <x:v>7</x:v>
      </x:c>
      <x:c r="AZ8" s="498" t="s">
        <x:v>7</x:v>
      </x:c>
      <x:c r="BA8" s="498" t="s">
        <x:v>7</x:v>
      </x:c>
      <x:c r="BB8" s="498" t="s">
        <x:v>7</x:v>
      </x:c>
      <x:c r="BC8" s="498" t="s">
        <x:v>7</x:v>
      </x:c>
      <x:c r="BD8" s="498" t="s">
        <x:v>7</x:v>
      </x:c>
      <x:c r="BE8" s="498" t="s">
        <x:v>7</x:v>
      </x:c>
      <x:c r="BF8" s="498" t="s">
        <x:v>6</x:v>
      </x:c>
      <x:c r="BG8" s="498" t="s">
        <x:v>7</x:v>
      </x:c>
      <x:c r="BH8" s="498" t="s">
        <x:v>7</x:v>
      </x:c>
      <x:c r="BI8" s="498" t="s">
        <x:v>7</x:v>
      </x:c>
      <x:c r="BJ8" s="498" t="s">
        <x:v>7</x:v>
      </x:c>
      <x:c r="BK8" s="498" t="s">
        <x:v>7</x:v>
      </x:c>
      <x:c r="BL8" s="498" t="s">
        <x:v>7</x:v>
      </x:c>
      <x:c r="BM8" s="498" t="s">
        <x:v>7</x:v>
      </x:c>
      <x:c r="BN8" s="498" t="s">
        <x:v>7</x:v>
      </x:c>
      <x:c r="BO8" s="498" t="s">
        <x:v>7</x:v>
      </x:c>
      <x:c r="BP8" s="498" t="s">
        <x:v>7</x:v>
      </x:c>
      <x:c r="BQ8" s="498" t="s">
        <x:v>7</x:v>
      </x:c>
      <x:c r="BR8" s="498" t="s">
        <x:v>7</x:v>
      </x:c>
      <x:c r="BS8" s="498" t="s">
        <x:v>7</x:v>
      </x:c>
      <x:c r="BT8" s="498" t="s">
        <x:v>7</x:v>
      </x:c>
      <x:c r="BU8" s="498" t="s">
        <x:v>7</x:v>
      </x:c>
      <x:c r="BV8" s="498" t="s">
        <x:v>7</x:v>
      </x:c>
      <x:c r="BW8" s="498" t="s">
        <x:v>7</x:v>
      </x:c>
      <x:c r="BX8" s="498" t="s">
        <x:v>7</x:v>
      </x:c>
      <x:c r="BY8" s="498" t="s">
        <x:v>7</x:v>
      </x:c>
      <x:c r="BZ8" s="498" t="s">
        <x:v>7</x:v>
      </x:c>
      <x:c r="CA8" s="498" t="s">
        <x:v>7</x:v>
      </x:c>
      <x:c r="CB8" s="498" t="s">
        <x:v>7</x:v>
      </x:c>
      <x:c r="CC8" s="498" t="s">
        <x:v>7</x:v>
      </x:c>
      <x:c r="CD8" s="498" t="s">
        <x:v>7</x:v>
      </x:c>
      <x:c r="CE8" s="498" t="s">
        <x:v>7</x:v>
      </x:c>
      <x:c r="CF8" s="498" t="s">
        <x:v>7</x:v>
      </x:c>
      <x:c r="CG8" s="498" t="s">
        <x:v>8</x:v>
      </x:c>
      <x:c r="CH8" s="498" t="s">
        <x:v>7</x:v>
      </x:c>
      <x:c r="CI8" s="498" t="s">
        <x:v>7</x:v>
      </x:c>
      <x:c r="CJ8" s="498" t="s">
        <x:v>7</x:v>
      </x:c>
      <x:c r="CK8" s="498" t="s">
        <x:v>7</x:v>
      </x:c>
      <x:c r="CL8" s="498" t="s">
        <x:v>7</x:v>
      </x:c>
      <x:c r="CM8" s="498" t="s">
        <x:v>7</x:v>
      </x:c>
      <x:c r="CN8" s="498" t="s">
        <x:v>7</x:v>
      </x:c>
      <x:c r="CO8" s="498" t="s">
        <x:v>7</x:v>
      </x:c>
      <x:c r="CP8" s="498" t="s">
        <x:v>7</x:v>
      </x:c>
      <x:c r="CQ8" s="498" t="s">
        <x:v>7</x:v>
      </x:c>
      <x:c r="CR8" s="498" t="s">
        <x:v>7</x:v>
      </x:c>
      <x:c r="CS8" s="498" t="s">
        <x:v>7</x:v>
      </x:c>
      <x:c r="CT8" s="498" t="s">
        <x:v>7</x:v>
      </x:c>
      <x:c r="CU8" s="498" t="s">
        <x:v>7</x:v>
      </x:c>
      <x:c r="CV8" s="498" t="s">
        <x:v>7</x:v>
      </x:c>
      <x:c r="CW8" s="498" t="s">
        <x:v>7</x:v>
      </x:c>
      <x:c r="CX8" s="498" t="s">
        <x:v>7</x:v>
      </x:c>
      <x:c r="CY8" s="498" t="s">
        <x:v>7</x:v>
      </x:c>
      <x:c r="CZ8" s="498" t="s">
        <x:v>7</x:v>
      </x:c>
      <x:c r="DA8" s="498" t="s">
        <x:v>7</x:v>
      </x:c>
      <x:c r="DB8" s="498" t="s">
        <x:v>7</x:v>
      </x:c>
      <x:c r="DC8" s="498" t="s">
        <x:v>7</x:v>
      </x:c>
      <x:c r="DD8" s="498" t="s">
        <x:v>7</x:v>
      </x:c>
      <x:c r="DE8" s="498" t="s">
        <x:v>7</x:v>
      </x:c>
      <x:c r="DF8" s="498" t="s">
        <x:v>7</x:v>
      </x:c>
      <x:c r="DG8" s="498" t="s">
        <x:v>7</x:v>
      </x:c>
      <x:c r="DH8" s="498" t="s">
        <x:v>7</x:v>
      </x:c>
      <x:c r="DI8" s="498" t="s">
        <x:v>7</x:v>
      </x:c>
      <x:c r="DJ8" s="499"/>
      <x:c r="DK8" s="499"/>
      <x:c r="DL8" s="499"/>
      <x:c r="DM8" s="499"/>
      <x:c r="DN8" s="499"/>
      <x:c r="DO8" s="499"/>
      <x:c r="DP8" s="499"/>
      <x:c r="DQ8" s="499"/>
      <x:c r="DR8" s="499"/>
      <x:c r="DS8" s="499"/>
      <x:c r="DT8" s="499"/>
      <x:c r="DU8" s="499"/>
      <x:c r="DV8" s="499"/>
      <x:c r="DW8" s="499"/>
      <x:c r="DX8" s="499"/>
      <x:c r="DY8" s="499"/>
      <x:c r="DZ8" s="499"/>
      <x:c r="EA8" s="499"/>
      <x:c r="EB8" s="499"/>
      <x:c r="EC8" s="499"/>
      <x:c r="ED8" s="499"/>
      <x:c r="EE8" s="499"/>
      <x:c r="EF8" s="499"/>
      <x:c r="EG8" s="499"/>
      <x:c r="EH8" s="499"/>
      <x:c r="EI8" s="499"/>
      <x:c r="EJ8" s="499"/>
      <x:c r="EK8" s="499"/>
      <x:c r="EL8" s="499"/>
      <x:c r="EM8" s="499"/>
      <x:c r="EN8" s="499"/>
      <x:c r="EO8" s="499"/>
      <x:c r="EP8" s="499"/>
      <x:c r="EQ8" s="499"/>
      <x:c r="ER8" s="499"/>
      <x:c r="ES8" s="499"/>
      <x:c r="ET8" s="499"/>
      <x:c r="EU8" s="499"/>
    </x:row>
    <x:row r="9" ht="22" customHeight="1">
      <x:c r="A9" s="500"/>
      <x:c r="B9" s="501" t="s">
        <x:v>7</x:v>
      </x:c>
      <x:c r="C9" s="501" t="s">
        <x:v>7</x:v>
      </x:c>
      <x:c r="D9" s="501" t="s">
        <x:v>137</x:v>
      </x:c>
      <x:c r="E9" s="501" t="s">
        <x:v>7</x:v>
      </x:c>
      <x:c r="F9" s="501" t="s">
        <x:v>7</x:v>
      </x:c>
      <x:c r="G9" s="501" t="s">
        <x:v>7</x:v>
      </x:c>
      <x:c r="H9" s="501" t="s">
        <x:v>7</x:v>
      </x:c>
      <x:c r="I9" s="501" t="s">
        <x:v>7</x:v>
      </x:c>
      <x:c r="J9" s="501" t="s">
        <x:v>7</x:v>
      </x:c>
      <x:c r="K9" s="501" t="s">
        <x:v>7</x:v>
      </x:c>
      <x:c r="L9" s="501" t="s">
        <x:v>7</x:v>
      </x:c>
      <x:c r="M9" s="501" t="s">
        <x:v>7</x:v>
      </x:c>
      <x:c r="N9" s="501" t="s">
        <x:v>7</x:v>
      </x:c>
      <x:c r="O9" s="501" t="s">
        <x:v>7</x:v>
      </x:c>
      <x:c r="P9" s="501" t="s">
        <x:v>7</x:v>
      </x:c>
      <x:c r="Q9" s="501" t="s">
        <x:v>138</x:v>
      </x:c>
      <x:c r="R9" s="501" t="s">
        <x:v>7</x:v>
      </x:c>
      <x:c r="S9" s="501" t="s">
        <x:v>7</x:v>
      </x:c>
      <x:c r="T9" s="502" t="s">
        <x:v>7</x:v>
      </x:c>
      <x:c r="U9" s="502" t="s">
        <x:v>7</x:v>
      </x:c>
      <x:c r="V9" s="502" t="s">
        <x:v>7</x:v>
      </x:c>
      <x:c r="W9" s="502" t="s">
        <x:v>7</x:v>
      </x:c>
      <x:c r="X9" s="502" t="s">
        <x:v>7</x:v>
      </x:c>
      <x:c r="Y9" s="502" t="s">
        <x:v>7</x:v>
      </x:c>
      <x:c r="Z9" s="502" t="s">
        <x:v>7</x:v>
      </x:c>
      <x:c r="AA9" s="502" t="s">
        <x:v>7</x:v>
      </x:c>
      <x:c r="AB9" s="502" t="s">
        <x:v>7</x:v>
      </x:c>
      <x:c r="AC9" s="502" t="s">
        <x:v>7</x:v>
      </x:c>
      <x:c r="AD9" s="502" t="s">
        <x:v>7</x:v>
      </x:c>
      <x:c r="AE9" s="502" t="s">
        <x:v>137</x:v>
      </x:c>
      <x:c r="AF9" s="502" t="s">
        <x:v>7</x:v>
      </x:c>
      <x:c r="AG9" s="502" t="s">
        <x:v>7</x:v>
      </x:c>
      <x:c r="AH9" s="502" t="s">
        <x:v>7</x:v>
      </x:c>
      <x:c r="AI9" s="502" t="s">
        <x:v>7</x:v>
      </x:c>
      <x:c r="AJ9" s="502" t="s">
        <x:v>7</x:v>
      </x:c>
      <x:c r="AK9" s="502" t="s">
        <x:v>7</x:v>
      </x:c>
      <x:c r="AL9" s="502" t="s">
        <x:v>7</x:v>
      </x:c>
      <x:c r="AM9" s="502" t="s">
        <x:v>7</x:v>
      </x:c>
      <x:c r="AN9" s="502" t="s">
        <x:v>7</x:v>
      </x:c>
      <x:c r="AO9" s="502" t="s">
        <x:v>7</x:v>
      </x:c>
      <x:c r="AP9" s="502" t="s">
        <x:v>7</x:v>
      </x:c>
      <x:c r="AQ9" s="502" t="s">
        <x:v>7</x:v>
      </x:c>
      <x:c r="AR9" s="502" t="s">
        <x:v>7</x:v>
      </x:c>
      <x:c r="AS9" s="502" t="s">
        <x:v>138</x:v>
      </x:c>
      <x:c r="AT9" s="502" t="s">
        <x:v>7</x:v>
      </x:c>
      <x:c r="AU9" s="502" t="s">
        <x:v>7</x:v>
      </x:c>
      <x:c r="AV9" s="502" t="s">
        <x:v>7</x:v>
      </x:c>
      <x:c r="AW9" s="502" t="s">
        <x:v>7</x:v>
      </x:c>
      <x:c r="AX9" s="502" t="s">
        <x:v>7</x:v>
      </x:c>
      <x:c r="AY9" s="502" t="s">
        <x:v>7</x:v>
      </x:c>
      <x:c r="AZ9" s="502" t="s">
        <x:v>7</x:v>
      </x:c>
      <x:c r="BA9" s="502" t="s">
        <x:v>7</x:v>
      </x:c>
      <x:c r="BB9" s="502" t="s">
        <x:v>7</x:v>
      </x:c>
      <x:c r="BC9" s="502" t="s">
        <x:v>7</x:v>
      </x:c>
      <x:c r="BD9" s="502" t="s">
        <x:v>7</x:v>
      </x:c>
      <x:c r="BE9" s="502" t="s">
        <x:v>7</x:v>
      </x:c>
      <x:c r="BF9" s="502" t="s">
        <x:v>7</x:v>
      </x:c>
      <x:c r="BG9" s="502" t="s">
        <x:v>137</x:v>
      </x:c>
      <x:c r="BH9" s="502" t="s">
        <x:v>7</x:v>
      </x:c>
      <x:c r="BI9" s="502" t="s">
        <x:v>7</x:v>
      </x:c>
      <x:c r="BJ9" s="502" t="s">
        <x:v>7</x:v>
      </x:c>
      <x:c r="BK9" s="502" t="s">
        <x:v>7</x:v>
      </x:c>
      <x:c r="BL9" s="502" t="s">
        <x:v>7</x:v>
      </x:c>
      <x:c r="BM9" s="502" t="s">
        <x:v>7</x:v>
      </x:c>
      <x:c r="BN9" s="502" t="s">
        <x:v>7</x:v>
      </x:c>
      <x:c r="BO9" s="502" t="s">
        <x:v>7</x:v>
      </x:c>
      <x:c r="BP9" s="502" t="s">
        <x:v>7</x:v>
      </x:c>
      <x:c r="BQ9" s="502" t="s">
        <x:v>7</x:v>
      </x:c>
      <x:c r="BR9" s="502" t="s">
        <x:v>7</x:v>
      </x:c>
      <x:c r="BS9" s="502" t="s">
        <x:v>7</x:v>
      </x:c>
      <x:c r="BT9" s="502" t="s">
        <x:v>138</x:v>
      </x:c>
      <x:c r="BU9" s="502" t="s">
        <x:v>7</x:v>
      </x:c>
      <x:c r="BV9" s="502" t="s">
        <x:v>7</x:v>
      </x:c>
      <x:c r="BW9" s="502" t="s">
        <x:v>7</x:v>
      </x:c>
      <x:c r="BX9" s="502" t="s">
        <x:v>7</x:v>
      </x:c>
      <x:c r="BY9" s="502" t="s">
        <x:v>7</x:v>
      </x:c>
      <x:c r="BZ9" s="502" t="s">
        <x:v>7</x:v>
      </x:c>
      <x:c r="CA9" s="502" t="s">
        <x:v>7</x:v>
      </x:c>
      <x:c r="CB9" s="502" t="s">
        <x:v>7</x:v>
      </x:c>
      <x:c r="CC9" s="502" t="s">
        <x:v>7</x:v>
      </x:c>
      <x:c r="CD9" s="502" t="s">
        <x:v>7</x:v>
      </x:c>
      <x:c r="CE9" s="502" t="s">
        <x:v>7</x:v>
      </x:c>
      <x:c r="CF9" s="502" t="s">
        <x:v>7</x:v>
      </x:c>
      <x:c r="CG9" s="502" t="s">
        <x:v>7</x:v>
      </x:c>
      <x:c r="CH9" s="502" t="s">
        <x:v>137</x:v>
      </x:c>
      <x:c r="CI9" s="502" t="s">
        <x:v>7</x:v>
      </x:c>
      <x:c r="CJ9" s="502" t="s">
        <x:v>7</x:v>
      </x:c>
      <x:c r="CK9" s="502" t="s">
        <x:v>7</x:v>
      </x:c>
      <x:c r="CL9" s="502" t="s">
        <x:v>7</x:v>
      </x:c>
      <x:c r="CM9" s="502" t="s">
        <x:v>7</x:v>
      </x:c>
      <x:c r="CN9" s="502" t="s">
        <x:v>7</x:v>
      </x:c>
      <x:c r="CO9" s="502" t="s">
        <x:v>7</x:v>
      </x:c>
      <x:c r="CP9" s="502" t="s">
        <x:v>7</x:v>
      </x:c>
      <x:c r="CQ9" s="502" t="s">
        <x:v>7</x:v>
      </x:c>
      <x:c r="CR9" s="502" t="s">
        <x:v>7</x:v>
      </x:c>
      <x:c r="CS9" s="502" t="s">
        <x:v>7</x:v>
      </x:c>
      <x:c r="CT9" s="502" t="s">
        <x:v>7</x:v>
      </x:c>
      <x:c r="CU9" s="502" t="s">
        <x:v>7</x:v>
      </x:c>
      <x:c r="CV9" s="502" t="s">
        <x:v>138</x:v>
      </x:c>
      <x:c r="CW9" s="502" t="s">
        <x:v>7</x:v>
      </x:c>
      <x:c r="CX9" s="502" t="s">
        <x:v>7</x:v>
      </x:c>
      <x:c r="CY9" s="502" t="s">
        <x:v>7</x:v>
      </x:c>
      <x:c r="CZ9" s="502" t="s">
        <x:v>7</x:v>
      </x:c>
      <x:c r="DA9" s="502" t="s">
        <x:v>7</x:v>
      </x:c>
      <x:c r="DB9" s="502" t="s">
        <x:v>7</x:v>
      </x:c>
      <x:c r="DC9" s="502" t="s">
        <x:v>7</x:v>
      </x:c>
      <x:c r="DD9" s="502" t="s">
        <x:v>7</x:v>
      </x:c>
      <x:c r="DE9" s="502" t="s">
        <x:v>7</x:v>
      </x:c>
      <x:c r="DF9" s="502" t="s">
        <x:v>7</x:v>
      </x:c>
      <x:c r="DG9" s="502" t="s">
        <x:v>7</x:v>
      </x:c>
      <x:c r="DH9" s="502" t="s">
        <x:v>7</x:v>
      </x:c>
      <x:c r="DI9" s="502" t="s">
        <x:v>7</x:v>
      </x:c>
      <x:c r="DJ9" s="495"/>
      <x:c r="DK9" s="495"/>
      <x:c r="DL9" s="495"/>
      <x:c r="DM9" s="495"/>
      <x:c r="DN9" s="495"/>
      <x:c r="DO9" s="495"/>
      <x:c r="DP9" s="495"/>
      <x:c r="DQ9" s="495"/>
      <x:c r="DR9" s="495"/>
      <x:c r="DS9" s="495"/>
      <x:c r="DT9" s="495"/>
      <x:c r="DU9" s="495"/>
      <x:c r="DV9" s="495"/>
      <x:c r="DW9" s="495"/>
      <x:c r="DX9" s="495"/>
      <x:c r="DY9" s="495"/>
      <x:c r="DZ9" s="495"/>
      <x:c r="EA9" s="495"/>
      <x:c r="EB9" s="495"/>
      <x:c r="EC9" s="495"/>
      <x:c r="ED9" s="495"/>
      <x:c r="EE9" s="495"/>
      <x:c r="EF9" s="495"/>
      <x:c r="EG9" s="495"/>
      <x:c r="EH9" s="495"/>
      <x:c r="EI9" s="495"/>
      <x:c r="EJ9" s="495"/>
      <x:c r="EK9" s="495"/>
      <x:c r="EL9" s="495"/>
      <x:c r="EM9" s="495"/>
      <x:c r="EN9" s="495"/>
      <x:c r="EO9" s="495"/>
      <x:c r="EP9" s="495"/>
      <x:c r="EQ9" s="495"/>
      <x:c r="ER9" s="495"/>
      <x:c r="ES9" s="495"/>
      <x:c r="ET9" s="495"/>
      <x:c r="EU9" s="495"/>
    </x:row>
    <x:row r="10" ht="22" customHeight="1">
      <x:c r="A10" s="503" t="s">
        <x:v>139</x:v>
      </x:c>
      <x:c r="B10" s="504" t="s">
        <x:v>7</x:v>
      </x:c>
      <x:c r="C10" s="504" t="s">
        <x:v>7</x:v>
      </x:c>
      <x:c r="D10" s="504" t="s">
        <x:v>7</x:v>
      </x:c>
      <x:c r="E10" s="504" t="s">
        <x:v>140</x:v>
      </x:c>
      <x:c r="F10" s="504" t="s">
        <x:v>141</x:v>
      </x:c>
      <x:c r="G10" s="504" t="s">
        <x:v>142</x:v>
      </x:c>
      <x:c r="H10" s="504" t="s">
        <x:v>143</x:v>
      </x:c>
      <x:c r="I10" s="504" t="s">
        <x:v>144</x:v>
      </x:c>
      <x:c r="J10" s="505" t="s">
        <x:v>145</x:v>
      </x:c>
      <x:c r="K10" s="505" t="s">
        <x:v>146</x:v>
      </x:c>
      <x:c r="L10" s="504" t="s">
        <x:v>147</x:v>
      </x:c>
      <x:c r="M10" s="504" t="s">
        <x:v>148</x:v>
      </x:c>
      <x:c r="N10" s="504" t="s">
        <x:v>149</x:v>
      </x:c>
      <x:c r="O10" s="504" t="s">
        <x:v>150</x:v>
      </x:c>
      <x:c r="P10" s="504" t="s">
        <x:v>151</x:v>
      </x:c>
      <x:c r="Q10" s="504" t="s">
        <x:v>7</x:v>
      </x:c>
      <x:c r="R10" s="505" t="s">
        <x:v>140</x:v>
      </x:c>
      <x:c r="S10" s="505" t="s">
        <x:v>141</x:v>
      </x:c>
      <x:c r="T10" s="504" t="s">
        <x:v>142</x:v>
      </x:c>
      <x:c r="U10" s="504" t="s">
        <x:v>143</x:v>
      </x:c>
      <x:c r="V10" s="504" t="s">
        <x:v>144</x:v>
      </x:c>
      <x:c r="W10" s="504" t="s">
        <x:v>146</x:v>
      </x:c>
      <x:c r="X10" s="504" t="s">
        <x:v>147</x:v>
      </x:c>
      <x:c r="Y10" s="504" t="s">
        <x:v>148</x:v>
      </x:c>
      <x:c r="Z10" s="504" t="s">
        <x:v>149</x:v>
      </x:c>
      <x:c r="AA10" s="504" t="s">
        <x:v>152</x:v>
      </x:c>
      <x:c r="AB10" s="504" t="s">
        <x:v>150</x:v>
      </x:c>
      <x:c r="AC10" s="504" t="s">
        <x:v>151</x:v>
      </x:c>
      <x:c r="AD10" s="504" t="s">
        <x:v>7</x:v>
      </x:c>
      <x:c r="AE10" s="504" t="s">
        <x:v>7</x:v>
      </x:c>
      <x:c r="AF10" s="504" t="s">
        <x:v>142</x:v>
      </x:c>
      <x:c r="AG10" s="504" t="s">
        <x:v>153</x:v>
      </x:c>
      <x:c r="AH10" s="504" t="s">
        <x:v>154</x:v>
      </x:c>
      <x:c r="AI10" s="504" t="s">
        <x:v>155</x:v>
      </x:c>
      <x:c r="AJ10" s="504" t="s">
        <x:v>144</x:v>
      </x:c>
      <x:c r="AK10" s="504" t="s">
        <x:v>145</x:v>
      </x:c>
      <x:c r="AL10" s="504" t="s">
        <x:v>146</x:v>
      </x:c>
      <x:c r="AM10" s="504" t="s">
        <x:v>147</x:v>
      </x:c>
      <x:c r="AN10" s="504" t="s">
        <x:v>148</x:v>
      </x:c>
      <x:c r="AO10" s="504" t="s">
        <x:v>149</x:v>
      </x:c>
      <x:c r="AP10" s="504" t="s">
        <x:v>152</x:v>
      </x:c>
      <x:c r="AQ10" s="504" t="s">
        <x:v>8</x:v>
      </x:c>
      <x:c r="AR10" s="504" t="s">
        <x:v>156</x:v>
      </x:c>
      <x:c r="AS10" s="504" t="s">
        <x:v>7</x:v>
      </x:c>
      <x:c r="AT10" s="504" t="s">
        <x:v>142</x:v>
      </x:c>
      <x:c r="AU10" s="504" t="s">
        <x:v>153</x:v>
      </x:c>
      <x:c r="AV10" s="504" t="s">
        <x:v>154</x:v>
      </x:c>
      <x:c r="AW10" s="504" t="s">
        <x:v>155</x:v>
      </x:c>
      <x:c r="AX10" s="504" t="s">
        <x:v>144</x:v>
      </x:c>
      <x:c r="AY10" s="504" t="s">
        <x:v>145</x:v>
      </x:c>
      <x:c r="AZ10" s="504" t="s">
        <x:v>147</x:v>
      </x:c>
      <x:c r="BA10" s="504" t="s">
        <x:v>148</x:v>
      </x:c>
      <x:c r="BB10" s="504" t="s">
        <x:v>149</x:v>
      </x:c>
      <x:c r="BC10" s="504" t="s">
        <x:v>8</x:v>
      </x:c>
      <x:c r="BD10" s="504" t="s">
        <x:v>156</x:v>
      </x:c>
      <x:c r="BE10" s="504" t="s">
        <x:v>7</x:v>
      </x:c>
      <x:c r="BF10" s="504" t="s">
        <x:v>7</x:v>
      </x:c>
      <x:c r="BG10" s="504" t="s">
        <x:v>7</x:v>
      </x:c>
      <x:c r="BH10" s="504" t="s">
        <x:v>140</x:v>
      </x:c>
      <x:c r="BI10" s="504" t="s">
        <x:v>141</x:v>
      </x:c>
      <x:c r="BJ10" s="504" t="s">
        <x:v>142</x:v>
      </x:c>
      <x:c r="BK10" s="504" t="s">
        <x:v>143</x:v>
      </x:c>
      <x:c r="BL10" s="504" t="s">
        <x:v>144</x:v>
      </x:c>
      <x:c r="BM10" s="504" t="s">
        <x:v>145</x:v>
      </x:c>
      <x:c r="BN10" s="504" t="s">
        <x:v>146</x:v>
      </x:c>
      <x:c r="BO10" s="504" t="s">
        <x:v>147</x:v>
      </x:c>
      <x:c r="BP10" s="504" t="s">
        <x:v>148</x:v>
      </x:c>
      <x:c r="BQ10" s="504" t="s">
        <x:v>149</x:v>
      </x:c>
      <x:c r="BR10" s="504" t="s">
        <x:v>150</x:v>
      </x:c>
      <x:c r="BS10" s="504" t="s">
        <x:v>151</x:v>
      </x:c>
      <x:c r="BT10" s="504" t="s">
        <x:v>7</x:v>
      </x:c>
      <x:c r="BU10" s="504" t="s">
        <x:v>140</x:v>
      </x:c>
      <x:c r="BV10" s="504" t="s">
        <x:v>141</x:v>
      </x:c>
      <x:c r="BW10" s="504" t="s">
        <x:v>142</x:v>
      </x:c>
      <x:c r="BX10" s="504" t="s">
        <x:v>143</x:v>
      </x:c>
      <x:c r="BY10" s="504" t="s">
        <x:v>144</x:v>
      </x:c>
      <x:c r="BZ10" s="504" t="s">
        <x:v>146</x:v>
      </x:c>
      <x:c r="CA10" s="504" t="s">
        <x:v>147</x:v>
      </x:c>
      <x:c r="CB10" s="504" t="s">
        <x:v>148</x:v>
      </x:c>
      <x:c r="CC10" s="504" t="s">
        <x:v>149</x:v>
      </x:c>
      <x:c r="CD10" s="504" t="s">
        <x:v>152</x:v>
      </x:c>
      <x:c r="CE10" s="504" t="s">
        <x:v>150</x:v>
      </x:c>
      <x:c r="CF10" s="504" t="s">
        <x:v>151</x:v>
      </x:c>
      <x:c r="CG10" s="504" t="s">
        <x:v>7</x:v>
      </x:c>
      <x:c r="CH10" s="504" t="s">
        <x:v>7</x:v>
      </x:c>
      <x:c r="CI10" s="504" t="s">
        <x:v>142</x:v>
      </x:c>
      <x:c r="CJ10" s="504" t="s">
        <x:v>153</x:v>
      </x:c>
      <x:c r="CK10" s="504" t="s">
        <x:v>154</x:v>
      </x:c>
      <x:c r="CL10" s="504" t="s">
        <x:v>155</x:v>
      </x:c>
      <x:c r="CM10" s="504" t="s">
        <x:v>144</x:v>
      </x:c>
      <x:c r="CN10" s="504" t="s">
        <x:v>145</x:v>
      </x:c>
      <x:c r="CO10" s="504" t="s">
        <x:v>146</x:v>
      </x:c>
      <x:c r="CP10" s="504" t="s">
        <x:v>147</x:v>
      </x:c>
      <x:c r="CQ10" s="504" t="s">
        <x:v>148</x:v>
      </x:c>
      <x:c r="CR10" s="504" t="s">
        <x:v>149</x:v>
      </x:c>
      <x:c r="CS10" s="504" t="s">
        <x:v>152</x:v>
      </x:c>
      <x:c r="CT10" s="504" t="s">
        <x:v>8</x:v>
      </x:c>
      <x:c r="CU10" s="504" t="s">
        <x:v>156</x:v>
      </x:c>
      <x:c r="CV10" s="504" t="s">
        <x:v>7</x:v>
      </x:c>
      <x:c r="CW10" s="504" t="s">
        <x:v>142</x:v>
      </x:c>
      <x:c r="CX10" s="504" t="s">
        <x:v>153</x:v>
      </x:c>
      <x:c r="CY10" s="504" t="s">
        <x:v>154</x:v>
      </x:c>
      <x:c r="CZ10" s="504" t="s">
        <x:v>155</x:v>
      </x:c>
      <x:c r="DA10" s="504" t="s">
        <x:v>144</x:v>
      </x:c>
      <x:c r="DB10" s="504" t="s">
        <x:v>145</x:v>
      </x:c>
      <x:c r="DC10" s="504" t="s">
        <x:v>147</x:v>
      </x:c>
      <x:c r="DD10" s="504" t="s">
        <x:v>148</x:v>
      </x:c>
      <x:c r="DE10" s="504" t="s">
        <x:v>149</x:v>
      </x:c>
      <x:c r="DF10" s="504" t="s">
        <x:v>8</x:v>
      </x:c>
      <x:c r="DG10" s="504" t="s">
        <x:v>156</x:v>
      </x:c>
      <x:c r="DH10" s="504" t="s">
        <x:v>134</x:v>
      </x:c>
      <x:c r="DI10" s="504" t="s">
        <x:v>135</x:v>
      </x:c>
      <x:c r="DJ10" s="499"/>
      <x:c r="DK10" s="499"/>
      <x:c r="DL10" s="499"/>
      <x:c r="DM10" s="499"/>
      <x:c r="DN10" s="499"/>
      <x:c r="DO10" s="499"/>
      <x:c r="DP10" s="499"/>
      <x:c r="DQ10" s="499"/>
      <x:c r="DR10" s="499"/>
      <x:c r="DS10" s="499"/>
      <x:c r="DT10" s="499"/>
      <x:c r="DU10" s="499"/>
      <x:c r="DV10" s="499"/>
      <x:c r="DW10" s="499"/>
      <x:c r="DX10" s="499"/>
      <x:c r="DY10" s="499"/>
      <x:c r="DZ10" s="499"/>
      <x:c r="EA10" s="499"/>
      <x:c r="EB10" s="499"/>
      <x:c r="EC10" s="499"/>
      <x:c r="ED10" s="499"/>
      <x:c r="EE10" s="499"/>
      <x:c r="EF10" s="499"/>
      <x:c r="EG10" s="499"/>
      <x:c r="EH10" s="499"/>
      <x:c r="EI10" s="499"/>
      <x:c r="EJ10" s="499"/>
      <x:c r="EK10" s="499"/>
      <x:c r="EL10" s="499"/>
      <x:c r="EM10" s="499"/>
      <x:c r="EN10" s="499"/>
      <x:c r="EO10" s="499"/>
      <x:c r="EP10" s="499"/>
      <x:c r="EQ10" s="499"/>
      <x:c r="ER10" s="499"/>
      <x:c r="ES10" s="499"/>
      <x:c r="ET10" s="499"/>
      <x:c r="EU10" s="499"/>
    </x:row>
    <x:row r="11" ht="22" customHeight="1">
      <x:c r="A11" s="500" t="s">
        <x:v>157</x:v>
      </x:c>
      <x:c r="B11" s="502">
        <x:v>2954</x:v>
      </x:c>
      <x:c r="C11" s="502">
        <x:v>2616</x:v>
      </x:c>
      <x:c r="D11" s="495"/>
      <x:c r="E11" s="495"/>
      <x:c r="F11" s="495"/>
      <x:c r="G11" s="495"/>
      <x:c r="H11" s="495"/>
      <x:c r="I11" s="495"/>
      <x:c r="J11" s="506"/>
      <x:c r="K11" s="495"/>
      <x:c r="L11" s="495"/>
      <x:c r="M11" s="495"/>
      <x:c r="N11" s="495"/>
      <x:c r="O11" s="495"/>
      <x:c r="P11" s="495"/>
      <x:c r="Q11" s="502">
        <x:v>2616</x:v>
      </x:c>
      <x:c r="R11" s="502">
        <x:v>17</x:v>
      </x:c>
      <x:c r="S11" s="506">
        <x:v>100</x:v>
      </x:c>
      <x:c r="T11" s="502">
        <x:v>436</x:v>
      </x:c>
      <x:c r="U11" s="502">
        <x:v>2</x:v>
      </x:c>
      <x:c r="V11" s="502">
        <x:v>10</x:v>
      </x:c>
      <x:c r="W11" s="495"/>
      <x:c r="X11" s="502">
        <x:v>50</x:v>
      </x:c>
      <x:c r="Y11" s="502">
        <x:v>1989</x:v>
      </x:c>
      <x:c r="Z11" s="495"/>
      <x:c r="AA11" s="495"/>
      <x:c r="AB11" s="502">
        <x:v>6</x:v>
      </x:c>
      <x:c r="AC11" s="502">
        <x:v>6</x:v>
      </x:c>
      <x:c r="AD11" s="502">
        <x:v>338</x:v>
      </x:c>
      <x:c r="AE11" s="495"/>
      <x:c r="AF11" s="495"/>
      <x:c r="AG11" s="495"/>
      <x:c r="AH11" s="495"/>
      <x:c r="AI11" s="495"/>
      <x:c r="AJ11" s="495"/>
      <x:c r="AK11" s="495"/>
      <x:c r="AL11" s="495"/>
      <x:c r="AM11" s="495"/>
      <x:c r="AN11" s="495"/>
      <x:c r="AO11" s="495"/>
      <x:c r="AP11" s="495"/>
      <x:c r="AQ11" s="495"/>
      <x:c r="AR11" s="495"/>
      <x:c r="AS11" s="502">
        <x:v>338</x:v>
      </x:c>
      <x:c r="AT11" s="495"/>
      <x:c r="AU11" s="502">
        <x:v>8</x:v>
      </x:c>
      <x:c r="AV11" s="502">
        <x:v>2</x:v>
      </x:c>
      <x:c r="AW11" s="502">
        <x:v>3</x:v>
      </x:c>
      <x:c r="AX11" s="495"/>
      <x:c r="AY11" s="495"/>
      <x:c r="AZ11" s="495"/>
      <x:c r="BA11" s="502">
        <x:v>187</x:v>
      </x:c>
      <x:c r="BB11" s="495"/>
      <x:c r="BC11" s="502">
        <x:v>114</x:v>
      </x:c>
      <x:c r="BD11" s="502">
        <x:v>24</x:v>
      </x:c>
      <x:c r="BE11" s="502">
        <x:v>70194200</x:v>
      </x:c>
      <x:c r="BF11" s="502">
        <x:v>48526400</x:v>
      </x:c>
      <x:c r="BG11" s="495"/>
      <x:c r="BH11" s="495"/>
      <x:c r="BI11" s="495"/>
      <x:c r="BJ11" s="495"/>
      <x:c r="BK11" s="495"/>
      <x:c r="BL11" s="495"/>
      <x:c r="BM11" s="495"/>
      <x:c r="BN11" s="495"/>
      <x:c r="BO11" s="495"/>
      <x:c r="BP11" s="495"/>
      <x:c r="BQ11" s="495"/>
      <x:c r="BR11" s="495"/>
      <x:c r="BS11" s="495"/>
      <x:c r="BT11" s="502">
        <x:v>48526400</x:v>
      </x:c>
      <x:c r="BU11" s="502">
        <x:v>255000</x:v>
      </x:c>
      <x:c r="BV11" s="502">
        <x:v>1760000</x:v>
      </x:c>
      <x:c r="BW11" s="502">
        <x:v>13952000</x:v>
      </x:c>
      <x:c r="BX11" s="502">
        <x:v>182000</x:v>
      </x:c>
      <x:c r="BY11" s="502">
        <x:v>14000</x:v>
      </x:c>
      <x:c r="BZ11" s="495"/>
      <x:c r="CA11" s="502">
        <x:v>1500000</x:v>
      </x:c>
      <x:c r="CB11" s="502">
        <x:v>29477400</x:v>
      </x:c>
      <x:c r="CC11" s="495"/>
      <x:c r="CD11" s="495"/>
      <x:c r="CE11" s="502">
        <x:v>690000</x:v>
      </x:c>
      <x:c r="CF11" s="502">
        <x:v>696000</x:v>
      </x:c>
      <x:c r="CG11" s="502">
        <x:v>21667800</x:v>
      </x:c>
      <x:c r="CH11" s="495"/>
      <x:c r="CI11" s="495"/>
      <x:c r="CJ11" s="495"/>
      <x:c r="CK11" s="495"/>
      <x:c r="CL11" s="495"/>
      <x:c r="CM11" s="495"/>
      <x:c r="CN11" s="495"/>
      <x:c r="CO11" s="495"/>
      <x:c r="CP11" s="495"/>
      <x:c r="CQ11" s="495"/>
      <x:c r="CR11" s="495"/>
      <x:c r="CS11" s="495"/>
      <x:c r="CT11" s="495"/>
      <x:c r="CU11" s="495"/>
      <x:c r="CV11" s="502">
        <x:v>21667800</x:v>
      </x:c>
      <x:c r="CW11" s="495"/>
      <x:c r="CX11" s="502">
        <x:v>1604000</x:v>
      </x:c>
      <x:c r="CY11" s="502">
        <x:v>252000</x:v>
      </x:c>
      <x:c r="CZ11" s="502">
        <x:v>378000</x:v>
      </x:c>
      <x:c r="DA11" s="495"/>
      <x:c r="DB11" s="495"/>
      <x:c r="DC11" s="495"/>
      <x:c r="DD11" s="502">
        <x:v>2879800</x:v>
      </x:c>
      <x:c r="DE11" s="495"/>
      <x:c r="DF11" s="502">
        <x:v>13794000</x:v>
      </x:c>
      <x:c r="DG11" s="502">
        <x:v>2760000</x:v>
      </x:c>
      <x:c r="DH11" s="502">
        <x:v>2954</x:v>
      </x:c>
      <x:c r="DI11" s="502">
        <x:v>70194200</x:v>
      </x:c>
      <x:c r="DJ11" s="495"/>
      <x:c r="DK11" s="495"/>
      <x:c r="DL11" s="495"/>
      <x:c r="DM11" s="495"/>
      <x:c r="DN11" s="495"/>
      <x:c r="DO11" s="495"/>
      <x:c r="DP11" s="495"/>
      <x:c r="DQ11" s="495"/>
      <x:c r="DR11" s="495"/>
      <x:c r="DS11" s="495"/>
      <x:c r="DT11" s="495"/>
      <x:c r="DU11" s="495"/>
      <x:c r="DV11" s="495"/>
      <x:c r="DW11" s="495"/>
      <x:c r="DX11" s="495"/>
      <x:c r="DY11" s="495"/>
      <x:c r="DZ11" s="495"/>
      <x:c r="EA11" s="495"/>
      <x:c r="EB11" s="495"/>
      <x:c r="EC11" s="495"/>
      <x:c r="ED11" s="495"/>
      <x:c r="EE11" s="495"/>
      <x:c r="EF11" s="495"/>
      <x:c r="EG11" s="495"/>
      <x:c r="EH11" s="495"/>
      <x:c r="EI11" s="495"/>
      <x:c r="EJ11" s="495"/>
      <x:c r="EK11" s="495"/>
      <x:c r="EL11" s="495"/>
      <x:c r="EM11" s="495"/>
      <x:c r="EN11" s="495"/>
      <x:c r="EO11" s="495"/>
      <x:c r="EP11" s="495"/>
      <x:c r="EQ11" s="495"/>
      <x:c r="ER11" s="495"/>
      <x:c r="ES11" s="495"/>
      <x:c r="ET11" s="495"/>
      <x:c r="EU11" s="495"/>
    </x:row>
    <x:row r="12" ht="22" customHeight="1">
      <x:c r="A12" s="503" t="s">
        <x:v>158</x:v>
      </x:c>
      <x:c r="B12" s="504">
        <x:v>8081</x:v>
      </x:c>
      <x:c r="C12" s="504">
        <x:v>6253</x:v>
      </x:c>
      <x:c r="D12" s="504">
        <x:v>5436</x:v>
      </x:c>
      <x:c r="E12" s="504">
        <x:v>33</x:v>
      </x:c>
      <x:c r="F12" s="504">
        <x:v>240</x:v>
      </x:c>
      <x:c r="G12" s="504">
        <x:v>69</x:v>
      </x:c>
      <x:c r="H12" s="504">
        <x:v>76</x:v>
      </x:c>
      <x:c r="I12" s="499"/>
      <x:c r="J12" s="505"/>
      <x:c r="K12" s="499"/>
      <x:c r="L12" s="504">
        <x:v>160</x:v>
      </x:c>
      <x:c r="M12" s="504">
        <x:v>4794</x:v>
      </x:c>
      <x:c r="N12" s="504">
        <x:v>0</x:v>
      </x:c>
      <x:c r="O12" s="505">
        <x:v>26</x:v>
      </x:c>
      <x:c r="P12" s="504">
        <x:v>38</x:v>
      </x:c>
      <x:c r="Q12" s="504">
        <x:v>817</x:v>
      </x:c>
      <x:c r="R12" s="499"/>
      <x:c r="S12" s="504">
        <x:v>40</x:v>
      </x:c>
      <x:c r="T12" s="504">
        <x:v>2</x:v>
      </x:c>
      <x:c r="U12" s="504">
        <x:v>3</x:v>
      </x:c>
      <x:c r="V12" s="504">
        <x:v>20</x:v>
      </x:c>
      <x:c r="W12" s="504">
        <x:v>1</x:v>
      </x:c>
      <x:c r="X12" s="499"/>
      <x:c r="Y12" s="504">
        <x:v>743</x:v>
      </x:c>
      <x:c r="Z12" s="504">
        <x:v>0</x:v>
      </x:c>
      <x:c r="AA12" s="499"/>
      <x:c r="AB12" s="504">
        <x:v>2</x:v>
      </x:c>
      <x:c r="AC12" s="504">
        <x:v>6</x:v>
      </x:c>
      <x:c r="AD12" s="504">
        <x:v>1828</x:v>
      </x:c>
      <x:c r="AE12" s="504">
        <x:v>1597</x:v>
      </x:c>
      <x:c r="AF12" s="504">
        <x:v>1</x:v>
      </x:c>
      <x:c r="AG12" s="504">
        <x:v>12</x:v>
      </x:c>
      <x:c r="AH12" s="504">
        <x:v>81</x:v>
      </x:c>
      <x:c r="AI12" s="504">
        <x:v>167</x:v>
      </x:c>
      <x:c r="AJ12" s="499"/>
      <x:c r="AK12" s="499"/>
      <x:c r="AL12" s="499"/>
      <x:c r="AM12" s="499"/>
      <x:c r="AN12" s="504">
        <x:v>460</x:v>
      </x:c>
      <x:c r="AO12" s="504">
        <x:v>0</x:v>
      </x:c>
      <x:c r="AP12" s="499"/>
      <x:c r="AQ12" s="504">
        <x:v>178</x:v>
      </x:c>
      <x:c r="AR12" s="504">
        <x:v>698</x:v>
      </x:c>
      <x:c r="AS12" s="504">
        <x:v>231</x:v>
      </x:c>
      <x:c r="AT12" s="499"/>
      <x:c r="AU12" s="504">
        <x:v>1</x:v>
      </x:c>
      <x:c r="AV12" s="499"/>
      <x:c r="AW12" s="504">
        <x:v>12</x:v>
      </x:c>
      <x:c r="AX12" s="499"/>
      <x:c r="AY12" s="499"/>
      <x:c r="AZ12" s="499"/>
      <x:c r="BA12" s="504">
        <x:v>84</x:v>
      </x:c>
      <x:c r="BB12" s="504">
        <x:v>0</x:v>
      </x:c>
      <x:c r="BC12" s="504">
        <x:v>28</x:v>
      </x:c>
      <x:c r="BD12" s="504">
        <x:v>106</x:v>
      </x:c>
      <x:c r="BE12" s="504">
        <x:v>271532900</x:v>
      </x:c>
      <x:c r="BF12" s="504">
        <x:v>110348300</x:v>
      </x:c>
      <x:c r="BG12" s="504">
        <x:v>97472800</x:v>
      </x:c>
      <x:c r="BH12" s="504">
        <x:v>495000</x:v>
      </x:c>
      <x:c r="BI12" s="504">
        <x:v>4026000</x:v>
      </x:c>
      <x:c r="BJ12" s="504">
        <x:v>2208000</x:v>
      </x:c>
      <x:c r="BK12" s="504">
        <x:v>6916000</x:v>
      </x:c>
      <x:c r="BL12" s="499"/>
      <x:c r="BM12" s="499"/>
      <x:c r="BN12" s="499"/>
      <x:c r="BO12" s="504">
        <x:v>4800000</x:v>
      </x:c>
      <x:c r="BP12" s="504">
        <x:v>71629800</x:v>
      </x:c>
      <x:c r="BQ12" s="504">
        <x:v>0</x:v>
      </x:c>
      <x:c r="BR12" s="504">
        <x:v>2990000</x:v>
      </x:c>
      <x:c r="BS12" s="504">
        <x:v>4408000</x:v>
      </x:c>
      <x:c r="BT12" s="504">
        <x:v>12875500</x:v>
      </x:c>
      <x:c r="BU12" s="499"/>
      <x:c r="BV12" s="504">
        <x:v>533500</x:v>
      </x:c>
      <x:c r="BW12" s="504">
        <x:v>64000</x:v>
      </x:c>
      <x:c r="BX12" s="504">
        <x:v>273000</x:v>
      </x:c>
      <x:c r="BY12" s="504">
        <x:v>28000</x:v>
      </x:c>
      <x:c r="BZ12" s="504">
        <x:v>0</x:v>
      </x:c>
      <x:c r="CA12" s="499"/>
      <x:c r="CB12" s="504">
        <x:v>11051000</x:v>
      </x:c>
      <x:c r="CC12" s="504">
        <x:v>0</x:v>
      </x:c>
      <x:c r="CD12" s="499"/>
      <x:c r="CE12" s="504">
        <x:v>230000</x:v>
      </x:c>
      <x:c r="CF12" s="504">
        <x:v>696000</x:v>
      </x:c>
      <x:c r="CG12" s="504">
        <x:v>161184600</x:v>
      </x:c>
      <x:c r="CH12" s="504">
        <x:v>142614000</x:v>
      </x:c>
      <x:c r="CI12" s="504">
        <x:v>32000</x:v>
      </x:c>
      <x:c r="CJ12" s="504">
        <x:v>2442000</x:v>
      </x:c>
      <x:c r="CK12" s="504">
        <x:v>10206000</x:v>
      </x:c>
      <x:c r="CL12" s="504">
        <x:v>21042000</x:v>
      </x:c>
      <x:c r="CM12" s="499"/>
      <x:c r="CN12" s="499"/>
      <x:c r="CO12" s="499"/>
      <x:c r="CP12" s="499"/>
      <x:c r="CQ12" s="504">
        <x:v>7084000</x:v>
      </x:c>
      <x:c r="CR12" s="504">
        <x:v>0</x:v>
      </x:c>
      <x:c r="CS12" s="499"/>
      <x:c r="CT12" s="504">
        <x:v>21538000</x:v>
      </x:c>
      <x:c r="CU12" s="504">
        <x:v>80270000</x:v>
      </x:c>
      <x:c r="CV12" s="504">
        <x:v>18570600</x:v>
      </x:c>
      <x:c r="CW12" s="499"/>
      <x:c r="CX12" s="504">
        <x:v>187000</x:v>
      </x:c>
      <x:c r="CY12" s="499"/>
      <x:c r="CZ12" s="504">
        <x:v>1512000</x:v>
      </x:c>
      <x:c r="DA12" s="499"/>
      <x:c r="DB12" s="499"/>
      <x:c r="DC12" s="499"/>
      <x:c r="DD12" s="504">
        <x:v>1293600</x:v>
      </x:c>
      <x:c r="DE12" s="504">
        <x:v>0</x:v>
      </x:c>
      <x:c r="DF12" s="504">
        <x:v>3388000</x:v>
      </x:c>
      <x:c r="DG12" s="504">
        <x:v>12190000</x:v>
      </x:c>
      <x:c r="DH12" s="504">
        <x:v>8081</x:v>
      </x:c>
      <x:c r="DI12" s="504">
        <x:v>271532900</x:v>
      </x:c>
      <x:c r="DJ12" s="499"/>
      <x:c r="DK12" s="499"/>
      <x:c r="DL12" s="499"/>
      <x:c r="DM12" s="499"/>
      <x:c r="DN12" s="499"/>
      <x:c r="DO12" s="499"/>
      <x:c r="DP12" s="499"/>
      <x:c r="DQ12" s="499"/>
      <x:c r="DR12" s="499"/>
      <x:c r="DS12" s="499"/>
      <x:c r="DT12" s="499"/>
      <x:c r="DU12" s="499"/>
      <x:c r="DV12" s="499"/>
      <x:c r="DW12" s="499"/>
      <x:c r="DX12" s="499"/>
      <x:c r="DY12" s="499"/>
      <x:c r="DZ12" s="499"/>
      <x:c r="EA12" s="499"/>
      <x:c r="EB12" s="499"/>
      <x:c r="EC12" s="499"/>
      <x:c r="ED12" s="499"/>
      <x:c r="EE12" s="499"/>
      <x:c r="EF12" s="499"/>
      <x:c r="EG12" s="499"/>
      <x:c r="EH12" s="499"/>
      <x:c r="EI12" s="499"/>
      <x:c r="EJ12" s="499"/>
      <x:c r="EK12" s="499"/>
      <x:c r="EL12" s="499"/>
      <x:c r="EM12" s="499"/>
      <x:c r="EN12" s="499"/>
      <x:c r="EO12" s="499"/>
      <x:c r="EP12" s="499"/>
      <x:c r="EQ12" s="499"/>
      <x:c r="ER12" s="499"/>
      <x:c r="ES12" s="499"/>
      <x:c r="ET12" s="499"/>
      <x:c r="EU12" s="499"/>
    </x:row>
    <x:row r="13" ht="22" customHeight="1">
      <x:c r="A13" s="500" t="s">
        <x:v>159</x:v>
      </x:c>
      <x:c r="B13" s="506">
        <x:v>4488</x:v>
      </x:c>
      <x:c r="C13" s="502">
        <x:v>3989</x:v>
      </x:c>
      <x:c r="D13" s="506">
        <x:v>2425</x:v>
      </x:c>
      <x:c r="E13" s="506">
        <x:v>15</x:v>
      </x:c>
      <x:c r="F13" s="502">
        <x:v>90</x:v>
      </x:c>
      <x:c r="G13" s="502">
        <x:v>24</x:v>
      </x:c>
      <x:c r="H13" s="502">
        <x:v>32</x:v>
      </x:c>
      <x:c r="I13" s="506"/>
      <x:c r="J13" s="506"/>
      <x:c r="K13" s="506"/>
      <x:c r="L13" s="506">
        <x:v>60</x:v>
      </x:c>
      <x:c r="M13" s="502">
        <x:v>2204</x:v>
      </x:c>
      <x:c r="N13" s="495"/>
      <x:c r="O13" s="495"/>
      <x:c r="P13" s="495"/>
      <x:c r="Q13" s="502">
        <x:v>1564</x:v>
      </x:c>
      <x:c r="R13" s="495"/>
      <x:c r="S13" s="502">
        <x:v>10</x:v>
      </x:c>
      <x:c r="T13" s="495"/>
      <x:c r="U13" s="495"/>
      <x:c r="V13" s="495"/>
      <x:c r="W13" s="495"/>
      <x:c r="X13" s="495"/>
      <x:c r="Y13" s="502">
        <x:v>1554</x:v>
      </x:c>
      <x:c r="Z13" s="495"/>
      <x:c r="AA13" s="495"/>
      <x:c r="AB13" s="495"/>
      <x:c r="AC13" s="495"/>
      <x:c r="AD13" s="502">
        <x:v>499</x:v>
      </x:c>
      <x:c r="AE13" s="502">
        <x:v>412</x:v>
      </x:c>
      <x:c r="AF13" s="495"/>
      <x:c r="AG13" s="502">
        <x:v>1</x:v>
      </x:c>
      <x:c r="AH13" s="502">
        <x:v>49</x:v>
      </x:c>
      <x:c r="AI13" s="502">
        <x:v>171</x:v>
      </x:c>
      <x:c r="AJ13" s="495"/>
      <x:c r="AK13" s="495"/>
      <x:c r="AL13" s="495"/>
      <x:c r="AM13" s="495"/>
      <x:c r="AN13" s="502">
        <x:v>91</x:v>
      </x:c>
      <x:c r="AO13" s="495"/>
      <x:c r="AP13" s="495"/>
      <x:c r="AQ13" s="502">
        <x:v>18</x:v>
      </x:c>
      <x:c r="AR13" s="502">
        <x:v>82</x:v>
      </x:c>
      <x:c r="AS13" s="502">
        <x:v>87</x:v>
      </x:c>
      <x:c r="AT13" s="495"/>
      <x:c r="AU13" s="502">
        <x:v>4</x:v>
      </x:c>
      <x:c r="AV13" s="502">
        <x:v>20</x:v>
      </x:c>
      <x:c r="AW13" s="502">
        <x:v>32</x:v>
      </x:c>
      <x:c r="AX13" s="495"/>
      <x:c r="AY13" s="495"/>
      <x:c r="AZ13" s="495"/>
      <x:c r="BA13" s="502">
        <x:v>21</x:v>
      </x:c>
      <x:c r="BB13" s="495"/>
      <x:c r="BC13" s="502">
        <x:v>4</x:v>
      </x:c>
      <x:c r="BD13" s="502">
        <x:v>6</x:v>
      </x:c>
      <x:c r="BE13" s="502">
        <x:v>113080500</x:v>
      </x:c>
      <x:c r="BF13" s="502">
        <x:v>63312700</x:v>
      </x:c>
      <x:c r="BG13" s="502">
        <x:v>40013300</x:v>
      </x:c>
      <x:c r="BH13" s="502">
        <x:v>225000</x:v>
      </x:c>
      <x:c r="BI13" s="502">
        <x:v>1589500</x:v>
      </x:c>
      <x:c r="BJ13" s="502">
        <x:v>768000</x:v>
      </x:c>
      <x:c r="BK13" s="502">
        <x:v>2912000</x:v>
      </x:c>
      <x:c r="BL13" s="495"/>
      <x:c r="BM13" s="495"/>
      <x:c r="BN13" s="495"/>
      <x:c r="BO13" s="502">
        <x:v>1800000</x:v>
      </x:c>
      <x:c r="BP13" s="502">
        <x:v>32718800</x:v>
      </x:c>
      <x:c r="BQ13" s="495"/>
      <x:c r="BR13" s="495"/>
      <x:c r="BS13" s="495"/>
      <x:c r="BT13" s="502">
        <x:v>23299400</x:v>
      </x:c>
      <x:c r="BU13" s="495"/>
      <x:c r="BV13" s="502">
        <x:v>275000</x:v>
      </x:c>
      <x:c r="BW13" s="495"/>
      <x:c r="BX13" s="495"/>
      <x:c r="BY13" s="495"/>
      <x:c r="BZ13" s="495"/>
      <x:c r="CA13" s="495"/>
      <x:c r="CB13" s="502">
        <x:v>23024400</x:v>
      </x:c>
      <x:c r="CC13" s="495"/>
      <x:c r="CD13" s="495"/>
      <x:c r="CE13" s="495"/>
      <x:c r="CF13" s="495"/>
      <x:c r="CG13" s="502">
        <x:v>49767800</x:v>
      </x:c>
      <x:c r="CH13" s="502">
        <x:v>40916400</x:v>
      </x:c>
      <x:c r="CI13" s="495"/>
      <x:c r="CJ13" s="502">
        <x:v>187000</x:v>
      </x:c>
      <x:c r="CK13" s="502">
        <x:v>6174000</x:v>
      </x:c>
      <x:c r="CL13" s="502">
        <x:v>21546000</x:v>
      </x:c>
      <x:c r="CM13" s="495"/>
      <x:c r="CN13" s="495"/>
      <x:c r="CO13" s="495"/>
      <x:c r="CP13" s="495"/>
      <x:c r="CQ13" s="502">
        <x:v>1401400</x:v>
      </x:c>
      <x:c r="CR13" s="495"/>
      <x:c r="CS13" s="495"/>
      <x:c r="CT13" s="502">
        <x:v>2178000</x:v>
      </x:c>
      <x:c r="CU13" s="502">
        <x:v>9430000</x:v>
      </x:c>
      <x:c r="CV13" s="502">
        <x:v>8851400</x:v>
      </x:c>
      <x:c r="CW13" s="495"/>
      <x:c r="CX13" s="502">
        <x:v>802000</x:v>
      </x:c>
      <x:c r="CY13" s="502">
        <x:v>2520000</x:v>
      </x:c>
      <x:c r="CZ13" s="502">
        <x:v>4032000</x:v>
      </x:c>
      <x:c r="DA13" s="495"/>
      <x:c r="DB13" s="495"/>
      <x:c r="DC13" s="495"/>
      <x:c r="DD13" s="502">
        <x:v>323400</x:v>
      </x:c>
      <x:c r="DE13" s="495"/>
      <x:c r="DF13" s="502">
        <x:v>484000</x:v>
      </x:c>
      <x:c r="DG13" s="502">
        <x:v>690000</x:v>
      </x:c>
      <x:c r="DH13" s="502">
        <x:v>4488</x:v>
      </x:c>
      <x:c r="DI13" s="502">
        <x:v>113080500</x:v>
      </x:c>
      <x:c r="DJ13" s="495"/>
      <x:c r="DK13" s="495"/>
      <x:c r="DL13" s="495"/>
      <x:c r="DM13" s="495"/>
      <x:c r="DN13" s="495"/>
      <x:c r="DO13" s="495"/>
      <x:c r="DP13" s="495"/>
      <x:c r="DQ13" s="495"/>
      <x:c r="DR13" s="495"/>
      <x:c r="DS13" s="495"/>
      <x:c r="DT13" s="495"/>
      <x:c r="DU13" s="495"/>
      <x:c r="DV13" s="495"/>
      <x:c r="DW13" s="495"/>
      <x:c r="DX13" s="495"/>
      <x:c r="DY13" s="495"/>
      <x:c r="DZ13" s="495"/>
      <x:c r="EA13" s="495"/>
      <x:c r="EB13" s="495"/>
      <x:c r="EC13" s="495"/>
      <x:c r="ED13" s="495"/>
      <x:c r="EE13" s="495"/>
      <x:c r="EF13" s="495"/>
      <x:c r="EG13" s="495"/>
      <x:c r="EH13" s="495"/>
      <x:c r="EI13" s="495"/>
      <x:c r="EJ13" s="495"/>
      <x:c r="EK13" s="495"/>
      <x:c r="EL13" s="495"/>
      <x:c r="EM13" s="495"/>
      <x:c r="EN13" s="495"/>
      <x:c r="EO13" s="495"/>
      <x:c r="EP13" s="495"/>
      <x:c r="EQ13" s="495"/>
      <x:c r="ER13" s="495"/>
      <x:c r="ES13" s="495"/>
      <x:c r="ET13" s="495"/>
      <x:c r="EU13" s="495"/>
    </x:row>
    <x:row r="14" ht="22" customHeight="1">
      <x:c r="A14" s="503" t="s">
        <x:v>160</x:v>
      </x:c>
      <x:c r="B14" s="504">
        <x:v>15197</x:v>
      </x:c>
      <x:c r="C14" s="505">
        <x:v>14531</x:v>
      </x:c>
      <x:c r="D14" s="504">
        <x:v>13933</x:v>
      </x:c>
      <x:c r="E14" s="505">
        <x:v>103</x:v>
      </x:c>
      <x:c r="F14" s="504">
        <x:v>996</x:v>
      </x:c>
      <x:c r="G14" s="504">
        <x:v>686</x:v>
      </x:c>
      <x:c r="H14" s="504">
        <x:v>201</x:v>
      </x:c>
      <x:c r="I14" s="504">
        <x:v>66</x:v>
      </x:c>
      <x:c r="J14" s="505"/>
      <x:c r="K14" s="505">
        <x:v>1</x:v>
      </x:c>
      <x:c r="L14" s="505">
        <x:v>417</x:v>
      </x:c>
      <x:c r="M14" s="504">
        <x:v>11373</x:v>
      </x:c>
      <x:c r="N14" s="504">
        <x:v>0</x:v>
      </x:c>
      <x:c r="O14" s="504">
        <x:v>44</x:v>
      </x:c>
      <x:c r="P14" s="504">
        <x:v>46</x:v>
      </x:c>
      <x:c r="Q14" s="504">
        <x:v>598</x:v>
      </x:c>
      <x:c r="R14" s="504">
        <x:v>2</x:v>
      </x:c>
      <x:c r="S14" s="504">
        <x:v>35</x:v>
      </x:c>
      <x:c r="T14" s="504">
        <x:v>16</x:v>
      </x:c>
      <x:c r="U14" s="504">
        <x:v>13</x:v>
      </x:c>
      <x:c r="V14" s="499"/>
      <x:c r="W14" s="504">
        <x:v>1</x:v>
      </x:c>
      <x:c r="X14" s="504">
        <x:v>5</x:v>
      </x:c>
      <x:c r="Y14" s="504">
        <x:v>504</x:v>
      </x:c>
      <x:c r="Z14" s="499"/>
      <x:c r="AA14" s="499"/>
      <x:c r="AB14" s="504">
        <x:v>6</x:v>
      </x:c>
      <x:c r="AC14" s="504">
        <x:v>16</x:v>
      </x:c>
      <x:c r="AD14" s="504">
        <x:v>666</x:v>
      </x:c>
      <x:c r="AE14" s="504">
        <x:v>662</x:v>
      </x:c>
      <x:c r="AF14" s="499"/>
      <x:c r="AG14" s="504">
        <x:v>16</x:v>
      </x:c>
      <x:c r="AH14" s="504">
        <x:v>20</x:v>
      </x:c>
      <x:c r="AI14" s="504">
        <x:v>32</x:v>
      </x:c>
      <x:c r="AJ14" s="499"/>
      <x:c r="AK14" s="499"/>
      <x:c r="AL14" s="504">
        <x:v>1</x:v>
      </x:c>
      <x:c r="AM14" s="504">
        <x:v>10</x:v>
      </x:c>
      <x:c r="AN14" s="504">
        <x:v>271</x:v>
      </x:c>
      <x:c r="AO14" s="504">
        <x:v>0</x:v>
      </x:c>
      <x:c r="AP14" s="499"/>
      <x:c r="AQ14" s="504">
        <x:v>180</x:v>
      </x:c>
      <x:c r="AR14" s="504">
        <x:v>132</x:v>
      </x:c>
      <x:c r="AS14" s="504">
        <x:v>4</x:v>
      </x:c>
      <x:c r="AT14" s="499"/>
      <x:c r="AU14" s="499"/>
      <x:c r="AV14" s="499"/>
      <x:c r="AW14" s="499"/>
      <x:c r="AX14" s="499"/>
      <x:c r="AY14" s="499"/>
      <x:c r="AZ14" s="499"/>
      <x:c r="BA14" s="499"/>
      <x:c r="BB14" s="499"/>
      <x:c r="BC14" s="499"/>
      <x:c r="BD14" s="504">
        <x:v>4</x:v>
      </x:c>
      <x:c r="BE14" s="504">
        <x:v>314059400</x:v>
      </x:c>
      <x:c r="BF14" s="504">
        <x:v>262460000</x:v>
      </x:c>
      <x:c r="BG14" s="504">
        <x:v>250086500</x:v>
      </x:c>
      <x:c r="BH14" s="504">
        <x:v>1545000</x:v>
      </x:c>
      <x:c r="BI14" s="504">
        <x:v>16186500</x:v>
      </x:c>
      <x:c r="BJ14" s="504">
        <x:v>21952000</x:v>
      </x:c>
      <x:c r="BK14" s="504">
        <x:v>18291000</x:v>
      </x:c>
      <x:c r="BL14" s="504">
        <x:v>91800</x:v>
      </x:c>
      <x:c r="BM14" s="499"/>
      <x:c r="BN14" s="504">
        <x:v>0</x:v>
      </x:c>
      <x:c r="BO14" s="504">
        <x:v>12510000</x:v>
      </x:c>
      <x:c r="BP14" s="504">
        <x:v>169114200</x:v>
      </x:c>
      <x:c r="BQ14" s="504">
        <x:v>0</x:v>
      </x:c>
      <x:c r="BR14" s="504">
        <x:v>5060000</x:v>
      </x:c>
      <x:c r="BS14" s="504">
        <x:v>5336000</x:v>
      </x:c>
      <x:c r="BT14" s="504">
        <x:v>12373500</x:v>
      </x:c>
      <x:c r="BU14" s="504">
        <x:v>30000</x:v>
      </x:c>
      <x:c r="BV14" s="504">
        <x:v>467500</x:v>
      </x:c>
      <x:c r="BW14" s="504">
        <x:v>512000</x:v>
      </x:c>
      <x:c r="BX14" s="504">
        <x:v>1183000</x:v>
      </x:c>
      <x:c r="BY14" s="499"/>
      <x:c r="BZ14" s="504">
        <x:v>0</x:v>
      </x:c>
      <x:c r="CA14" s="504">
        <x:v>150000</x:v>
      </x:c>
      <x:c r="CB14" s="504">
        <x:v>7485000</x:v>
      </x:c>
      <x:c r="CC14" s="499"/>
      <x:c r="CD14" s="499"/>
      <x:c r="CE14" s="504">
        <x:v>690000</x:v>
      </x:c>
      <x:c r="CF14" s="504">
        <x:v>1856000</x:v>
      </x:c>
      <x:c r="CG14" s="504">
        <x:v>51599400</x:v>
      </x:c>
      <x:c r="CH14" s="504">
        <x:v>51139400</x:v>
      </x:c>
      <x:c r="CI14" s="499"/>
      <x:c r="CJ14" s="504">
        <x:v>3154000</x:v>
      </x:c>
      <x:c r="CK14" s="504">
        <x:v>2520000</x:v>
      </x:c>
      <x:c r="CL14" s="504">
        <x:v>4032000</x:v>
      </x:c>
      <x:c r="CM14" s="499"/>
      <x:c r="CN14" s="499"/>
      <x:c r="CO14" s="504">
        <x:v>0</x:v>
      </x:c>
      <x:c r="CP14" s="504">
        <x:v>300000</x:v>
      </x:c>
      <x:c r="CQ14" s="504">
        <x:v>4173400</x:v>
      </x:c>
      <x:c r="CR14" s="504">
        <x:v>0</x:v>
      </x:c>
      <x:c r="CS14" s="499"/>
      <x:c r="CT14" s="504">
        <x:v>21780000</x:v>
      </x:c>
      <x:c r="CU14" s="504">
        <x:v>15180000</x:v>
      </x:c>
      <x:c r="CV14" s="504">
        <x:v>460000</x:v>
      </x:c>
      <x:c r="CW14" s="499"/>
      <x:c r="CX14" s="499"/>
      <x:c r="CY14" s="499"/>
      <x:c r="CZ14" s="499"/>
      <x:c r="DA14" s="499"/>
      <x:c r="DB14" s="499"/>
      <x:c r="DC14" s="499"/>
      <x:c r="DD14" s="499"/>
      <x:c r="DE14" s="499"/>
      <x:c r="DF14" s="499"/>
      <x:c r="DG14" s="504">
        <x:v>460000</x:v>
      </x:c>
      <x:c r="DH14" s="504">
        <x:v>15197</x:v>
      </x:c>
      <x:c r="DI14" s="504">
        <x:v>314059400</x:v>
      </x:c>
      <x:c r="DJ14" s="499"/>
      <x:c r="DK14" s="499"/>
      <x:c r="DL14" s="499"/>
      <x:c r="DM14" s="499"/>
      <x:c r="DN14" s="499"/>
      <x:c r="DO14" s="499"/>
      <x:c r="DP14" s="499"/>
      <x:c r="DQ14" s="499"/>
      <x:c r="DR14" s="499"/>
      <x:c r="DS14" s="499"/>
      <x:c r="DT14" s="499"/>
      <x:c r="DU14" s="499"/>
      <x:c r="DV14" s="499"/>
      <x:c r="DW14" s="499"/>
      <x:c r="DX14" s="499"/>
      <x:c r="DY14" s="499"/>
      <x:c r="DZ14" s="499"/>
      <x:c r="EA14" s="499"/>
      <x:c r="EB14" s="499"/>
      <x:c r="EC14" s="499"/>
      <x:c r="ED14" s="499"/>
      <x:c r="EE14" s="499"/>
      <x:c r="EF14" s="499"/>
      <x:c r="EG14" s="499"/>
      <x:c r="EH14" s="499"/>
      <x:c r="EI14" s="499"/>
      <x:c r="EJ14" s="499"/>
      <x:c r="EK14" s="499"/>
      <x:c r="EL14" s="499"/>
      <x:c r="EM14" s="499"/>
      <x:c r="EN14" s="499"/>
      <x:c r="EO14" s="499"/>
      <x:c r="EP14" s="499"/>
      <x:c r="EQ14" s="499"/>
      <x:c r="ER14" s="499"/>
      <x:c r="ES14" s="499"/>
      <x:c r="ET14" s="499"/>
      <x:c r="EU14" s="499"/>
    </x:row>
    <x:row r="15" ht="22" customHeight="1">
      <x:c r="A15" s="500" t="s">
        <x:v>161</x:v>
      </x:c>
      <x:c r="B15" s="502">
        <x:v>4382</x:v>
      </x:c>
      <x:c r="C15" s="502">
        <x:v>3345</x:v>
      </x:c>
      <x:c r="D15" s="502">
        <x:v>2271</x:v>
      </x:c>
      <x:c r="E15" s="502">
        <x:v>25</x:v>
      </x:c>
      <x:c r="F15" s="502">
        <x:v>270</x:v>
      </x:c>
      <x:c r="G15" s="502">
        <x:v>93</x:v>
      </x:c>
      <x:c r="H15" s="502">
        <x:v>34</x:v>
      </x:c>
      <x:c r="I15" s="502">
        <x:v>140</x:v>
      </x:c>
      <x:c r="J15" s="495"/>
      <x:c r="K15" s="506"/>
      <x:c r="L15" s="506">
        <x:v>85</x:v>
      </x:c>
      <x:c r="M15" s="502">
        <x:v>1550</x:v>
      </x:c>
      <x:c r="N15" s="495"/>
      <x:c r="O15" s="506">
        <x:v>57</x:v>
      </x:c>
      <x:c r="P15" s="502">
        <x:v>17</x:v>
      </x:c>
      <x:c r="Q15" s="502">
        <x:v>1074</x:v>
      </x:c>
      <x:c r="R15" s="502">
        <x:v>18</x:v>
      </x:c>
      <x:c r="S15" s="506">
        <x:v>105</x:v>
      </x:c>
      <x:c r="T15" s="502">
        <x:v>40</x:v>
      </x:c>
      <x:c r="U15" s="502">
        <x:v>36</x:v>
      </x:c>
      <x:c r="V15" s="495"/>
      <x:c r="W15" s="495"/>
      <x:c r="X15" s="502">
        <x:v>10</x:v>
      </x:c>
      <x:c r="Y15" s="502">
        <x:v>837</x:v>
      </x:c>
      <x:c r="Z15" s="495"/>
      <x:c r="AA15" s="495"/>
      <x:c r="AB15" s="502">
        <x:v>4</x:v>
      </x:c>
      <x:c r="AC15" s="502">
        <x:v>24</x:v>
      </x:c>
      <x:c r="AD15" s="502">
        <x:v>1037</x:v>
      </x:c>
      <x:c r="AE15" s="502">
        <x:v>821</x:v>
      </x:c>
      <x:c r="AF15" s="495"/>
      <x:c r="AG15" s="502">
        <x:v>5</x:v>
      </x:c>
      <x:c r="AH15" s="502">
        <x:v>131</x:v>
      </x:c>
      <x:c r="AI15" s="502">
        <x:v>265</x:v>
      </x:c>
      <x:c r="AJ15" s="495"/>
      <x:c r="AK15" s="495"/>
      <x:c r="AL15" s="495"/>
      <x:c r="AM15" s="495"/>
      <x:c r="AN15" s="502">
        <x:v>212</x:v>
      </x:c>
      <x:c r="AO15" s="495"/>
      <x:c r="AP15" s="495"/>
      <x:c r="AQ15" s="502">
        <x:v>90</x:v>
      </x:c>
      <x:c r="AR15" s="502">
        <x:v>118</x:v>
      </x:c>
      <x:c r="AS15" s="502">
        <x:v>216</x:v>
      </x:c>
      <x:c r="AT15" s="502">
        <x:v>5</x:v>
      </x:c>
      <x:c r="AU15" s="495"/>
      <x:c r="AV15" s="502">
        <x:v>40</x:v>
      </x:c>
      <x:c r="AW15" s="502">
        <x:v>48</x:v>
      </x:c>
      <x:c r="AX15" s="495"/>
      <x:c r="AY15" s="502">
        <x:v>30</x:v>
      </x:c>
      <x:c r="AZ15" s="495"/>
      <x:c r="BA15" s="502">
        <x:v>63</x:v>
      </x:c>
      <x:c r="BB15" s="495"/>
      <x:c r="BC15" s="502">
        <x:v>12</x:v>
      </x:c>
      <x:c r="BD15" s="502">
        <x:v>18</x:v>
      </x:c>
      <x:c r="BE15" s="502">
        <x:v>162269400</x:v>
      </x:c>
      <x:c r="BF15" s="502">
        <x:v>67883400</x:v>
      </x:c>
      <x:c r="BG15" s="502">
        <x:v>45435200</x:v>
      </x:c>
      <x:c r="BH15" s="502">
        <x:v>375000</x:v>
      </x:c>
      <x:c r="BI15" s="502">
        <x:v>4565000</x:v>
      </x:c>
      <x:c r="BJ15" s="502">
        <x:v>2976000</x:v>
      </x:c>
      <x:c r="BK15" s="502">
        <x:v>3094000</x:v>
      </x:c>
      <x:c r="BL15" s="502">
        <x:v>191000</x:v>
      </x:c>
      <x:c r="BM15" s="495"/>
      <x:c r="BN15" s="495"/>
      <x:c r="BO15" s="502">
        <x:v>2550000</x:v>
      </x:c>
      <x:c r="BP15" s="502">
        <x:v>23157200</x:v>
      </x:c>
      <x:c r="BQ15" s="495"/>
      <x:c r="BR15" s="502">
        <x:v>6555000</x:v>
      </x:c>
      <x:c r="BS15" s="502">
        <x:v>1972000</x:v>
      </x:c>
      <x:c r="BT15" s="502">
        <x:v>22448200</x:v>
      </x:c>
      <x:c r="BU15" s="502">
        <x:v>270000</x:v>
      </x:c>
      <x:c r="BV15" s="502">
        <x:v>1540000</x:v>
      </x:c>
      <x:c r="BW15" s="502">
        <x:v>1280000</x:v>
      </x:c>
      <x:c r="BX15" s="502">
        <x:v>3276000</x:v>
      </x:c>
      <x:c r="BY15" s="495"/>
      <x:c r="BZ15" s="495"/>
      <x:c r="CA15" s="502">
        <x:v>300000</x:v>
      </x:c>
      <x:c r="CB15" s="502">
        <x:v>12538200</x:v>
      </x:c>
      <x:c r="CC15" s="495"/>
      <x:c r="CD15" s="495"/>
      <x:c r="CE15" s="502">
        <x:v>460000</x:v>
      </x:c>
      <x:c r="CF15" s="502">
        <x:v>2784000</x:v>
      </x:c>
      <x:c r="CG15" s="502">
        <x:v>94386000</x:v>
      </x:c>
      <x:c r="CH15" s="502">
        <x:v>78627800</x:v>
      </x:c>
      <x:c r="CI15" s="495"/>
      <x:c r="CJ15" s="502">
        <x:v>1007000</x:v>
      </x:c>
      <x:c r="CK15" s="502">
        <x:v>16506000</x:v>
      </x:c>
      <x:c r="CL15" s="502">
        <x:v>33390000</x:v>
      </x:c>
      <x:c r="CM15" s="495"/>
      <x:c r="CN15" s="495"/>
      <x:c r="CO15" s="495"/>
      <x:c r="CP15" s="495"/>
      <x:c r="CQ15" s="502">
        <x:v>3264800</x:v>
      </x:c>
      <x:c r="CR15" s="495"/>
      <x:c r="CS15" s="495"/>
      <x:c r="CT15" s="502">
        <x:v>10890000</x:v>
      </x:c>
      <x:c r="CU15" s="502">
        <x:v>13570000</x:v>
      </x:c>
      <x:c r="CV15" s="502">
        <x:v>15758200</x:v>
      </x:c>
      <x:c r="CW15" s="502">
        <x:v>160000</x:v>
      </x:c>
      <x:c r="CX15" s="495"/>
      <x:c r="CY15" s="502">
        <x:v>5040000</x:v>
      </x:c>
      <x:c r="CZ15" s="502">
        <x:v>6048000</x:v>
      </x:c>
      <x:c r="DA15" s="495"/>
      <x:c r="DB15" s="502">
        <x:v>18000</x:v>
      </x:c>
      <x:c r="DC15" s="495"/>
      <x:c r="DD15" s="502">
        <x:v>970200</x:v>
      </x:c>
      <x:c r="DE15" s="495"/>
      <x:c r="DF15" s="502">
        <x:v>1452000</x:v>
      </x:c>
      <x:c r="DG15" s="502">
        <x:v>2070000</x:v>
      </x:c>
      <x:c r="DH15" s="502">
        <x:v>4382</x:v>
      </x:c>
      <x:c r="DI15" s="502">
        <x:v>162269400</x:v>
      </x:c>
      <x:c r="DJ15" s="495"/>
      <x:c r="DK15" s="495"/>
      <x:c r="DL15" s="495"/>
      <x:c r="DM15" s="495"/>
      <x:c r="DN15" s="495"/>
      <x:c r="DO15" s="495"/>
      <x:c r="DP15" s="495"/>
      <x:c r="DQ15" s="495"/>
      <x:c r="DR15" s="495"/>
      <x:c r="DS15" s="495"/>
      <x:c r="DT15" s="495"/>
      <x:c r="DU15" s="495"/>
      <x:c r="DV15" s="495"/>
      <x:c r="DW15" s="495"/>
      <x:c r="DX15" s="495"/>
      <x:c r="DY15" s="495"/>
      <x:c r="DZ15" s="495"/>
      <x:c r="EA15" s="495"/>
      <x:c r="EB15" s="495"/>
      <x:c r="EC15" s="495"/>
      <x:c r="ED15" s="495"/>
      <x:c r="EE15" s="495"/>
      <x:c r="EF15" s="495"/>
      <x:c r="EG15" s="495"/>
      <x:c r="EH15" s="495"/>
      <x:c r="EI15" s="495"/>
      <x:c r="EJ15" s="495"/>
      <x:c r="EK15" s="495"/>
      <x:c r="EL15" s="495"/>
      <x:c r="EM15" s="495"/>
      <x:c r="EN15" s="495"/>
      <x:c r="EO15" s="495"/>
      <x:c r="EP15" s="495"/>
      <x:c r="EQ15" s="495"/>
      <x:c r="ER15" s="495"/>
      <x:c r="ES15" s="495"/>
      <x:c r="ET15" s="495"/>
      <x:c r="EU15" s="495"/>
    </x:row>
    <x:row r="16" ht="22" customHeight="1">
      <x:c r="A16" s="503" t="s">
        <x:v>162</x:v>
      </x:c>
      <x:c r="B16" s="504">
        <x:v>2945</x:v>
      </x:c>
      <x:c r="C16" s="504">
        <x:v>2119</x:v>
      </x:c>
      <x:c r="D16" s="505">
        <x:v>2092</x:v>
      </x:c>
      <x:c r="E16" s="505">
        <x:v>4</x:v>
      </x:c>
      <x:c r="F16" s="504">
        <x:v>205</x:v>
      </x:c>
      <x:c r="G16" s="504">
        <x:v>155</x:v>
      </x:c>
      <x:c r="H16" s="504">
        <x:v>52</x:v>
      </x:c>
      <x:c r="I16" s="499"/>
      <x:c r="J16" s="505">
        <x:v>20</x:v>
      </x:c>
      <x:c r="K16" s="499"/>
      <x:c r="L16" s="505">
        <x:v>65</x:v>
      </x:c>
      <x:c r="M16" s="504">
        <x:v>1530</x:v>
      </x:c>
      <x:c r="N16" s="505">
        <x:v>0</x:v>
      </x:c>
      <x:c r="O16" s="505">
        <x:v>21</x:v>
      </x:c>
      <x:c r="P16" s="504">
        <x:v>40</x:v>
      </x:c>
      <x:c r="Q16" s="504">
        <x:v>27</x:v>
      </x:c>
      <x:c r="R16" s="505">
        <x:v>10</x:v>
      </x:c>
      <x:c r="S16" s="505"/>
      <x:c r="T16" s="499"/>
      <x:c r="U16" s="504">
        <x:v>1</x:v>
      </x:c>
      <x:c r="V16" s="499"/>
      <x:c r="W16" s="499"/>
      <x:c r="X16" s="499"/>
      <x:c r="Y16" s="504">
        <x:v>14</x:v>
      </x:c>
      <x:c r="Z16" s="499"/>
      <x:c r="AA16" s="499"/>
      <x:c r="AB16" s="499"/>
      <x:c r="AC16" s="504">
        <x:v>2</x:v>
      </x:c>
      <x:c r="AD16" s="504">
        <x:v>826</x:v>
      </x:c>
      <x:c r="AE16" s="504">
        <x:v>762</x:v>
      </x:c>
      <x:c r="AF16" s="504">
        <x:v>40</x:v>
      </x:c>
      <x:c r="AG16" s="504">
        <x:v>9</x:v>
      </x:c>
      <x:c r="AH16" s="504">
        <x:v>64</x:v>
      </x:c>
      <x:c r="AI16" s="504">
        <x:v>203</x:v>
      </x:c>
      <x:c r="AJ16" s="499"/>
      <x:c r="AK16" s="499"/>
      <x:c r="AL16" s="499"/>
      <x:c r="AM16" s="504">
        <x:v>5</x:v>
      </x:c>
      <x:c r="AN16" s="504">
        <x:v>138</x:v>
      </x:c>
      <x:c r="AO16" s="504">
        <x:v>0</x:v>
      </x:c>
      <x:c r="AP16" s="499"/>
      <x:c r="AQ16" s="504">
        <x:v>263</x:v>
      </x:c>
      <x:c r="AR16" s="504">
        <x:v>40</x:v>
      </x:c>
      <x:c r="AS16" s="504">
        <x:v>64</x:v>
      </x:c>
      <x:c r="AT16" s="499"/>
      <x:c r="AU16" s="499"/>
      <x:c r="AV16" s="499"/>
      <x:c r="AW16" s="499"/>
      <x:c r="AX16" s="499"/>
      <x:c r="AY16" s="504">
        <x:v>50</x:v>
      </x:c>
      <x:c r="AZ16" s="499"/>
      <x:c r="BA16" s="504">
        <x:v>14</x:v>
      </x:c>
      <x:c r="BB16" s="499"/>
      <x:c r="BC16" s="499"/>
      <x:c r="BD16" s="499"/>
      <x:c r="BE16" s="504">
        <x:v>121224800</x:v>
      </x:c>
      <x:c r="BF16" s="504">
        <x:v>45604000</x:v>
      </x:c>
      <x:c r="BG16" s="504">
        <x:v>44923800</x:v>
      </x:c>
      <x:c r="BH16" s="504">
        <x:v>60000</x:v>
      </x:c>
      <x:c r="BI16" s="504">
        <x:v>3278000</x:v>
      </x:c>
      <x:c r="BJ16" s="504">
        <x:v>4960000</x:v>
      </x:c>
      <x:c r="BK16" s="504">
        <x:v>4732000</x:v>
      </x:c>
      <x:c r="BL16" s="499"/>
      <x:c r="BM16" s="504">
        <x:v>12000</x:v>
      </x:c>
      <x:c r="BN16" s="499"/>
      <x:c r="BO16" s="504">
        <x:v>1950000</x:v>
      </x:c>
      <x:c r="BP16" s="504">
        <x:v>22876800</x:v>
      </x:c>
      <x:c r="BQ16" s="504">
        <x:v>0</x:v>
      </x:c>
      <x:c r="BR16" s="504">
        <x:v>2415000</x:v>
      </x:c>
      <x:c r="BS16" s="504">
        <x:v>4640000</x:v>
      </x:c>
      <x:c r="BT16" s="504">
        <x:v>680200</x:v>
      </x:c>
      <x:c r="BU16" s="504">
        <x:v>150000</x:v>
      </x:c>
      <x:c r="BV16" s="499"/>
      <x:c r="BW16" s="499"/>
      <x:c r="BX16" s="504">
        <x:v>91000</x:v>
      </x:c>
      <x:c r="BY16" s="499"/>
      <x:c r="BZ16" s="499"/>
      <x:c r="CA16" s="499"/>
      <x:c r="CB16" s="504">
        <x:v>207200</x:v>
      </x:c>
      <x:c r="CC16" s="499"/>
      <x:c r="CD16" s="499"/>
      <x:c r="CE16" s="499"/>
      <x:c r="CF16" s="504">
        <x:v>232000</x:v>
      </x:c>
      <x:c r="CG16" s="504">
        <x:v>75620800</x:v>
      </x:c>
      <x:c r="CH16" s="504">
        <x:v>75375200</x:v>
      </x:c>
      <x:c r="CI16" s="504">
        <x:v>1280000</x:v>
      </x:c>
      <x:c r="CJ16" s="504">
        <x:v>1755000</x:v>
      </x:c>
      <x:c r="CK16" s="504">
        <x:v>8064000</x:v>
      </x:c>
      <x:c r="CL16" s="504">
        <x:v>25578000</x:v>
      </x:c>
      <x:c r="CM16" s="499"/>
      <x:c r="CN16" s="499"/>
      <x:c r="CO16" s="499"/>
      <x:c r="CP16" s="504">
        <x:v>150000</x:v>
      </x:c>
      <x:c r="CQ16" s="504">
        <x:v>2125200</x:v>
      </x:c>
      <x:c r="CR16" s="504">
        <x:v>0</x:v>
      </x:c>
      <x:c r="CS16" s="499"/>
      <x:c r="CT16" s="504">
        <x:v>31823000</x:v>
      </x:c>
      <x:c r="CU16" s="504">
        <x:v>4600000</x:v>
      </x:c>
      <x:c r="CV16" s="504">
        <x:v>245600</x:v>
      </x:c>
      <x:c r="CW16" s="499"/>
      <x:c r="CX16" s="499"/>
      <x:c r="CY16" s="499"/>
      <x:c r="CZ16" s="499"/>
      <x:c r="DA16" s="499"/>
      <x:c r="DB16" s="504">
        <x:v>30000</x:v>
      </x:c>
      <x:c r="DC16" s="499"/>
      <x:c r="DD16" s="504">
        <x:v>215600</x:v>
      </x:c>
      <x:c r="DE16" s="499"/>
      <x:c r="DF16" s="499"/>
      <x:c r="DG16" s="499"/>
      <x:c r="DH16" s="504">
        <x:v>2945</x:v>
      </x:c>
      <x:c r="DI16" s="504">
        <x:v>121224800</x:v>
      </x:c>
      <x:c r="DJ16" s="499"/>
      <x:c r="DK16" s="499"/>
      <x:c r="DL16" s="499"/>
      <x:c r="DM16" s="499"/>
      <x:c r="DN16" s="499"/>
      <x:c r="DO16" s="499"/>
      <x:c r="DP16" s="499"/>
      <x:c r="DQ16" s="499"/>
      <x:c r="DR16" s="499"/>
      <x:c r="DS16" s="499"/>
      <x:c r="DT16" s="499"/>
      <x:c r="DU16" s="499"/>
      <x:c r="DV16" s="499"/>
      <x:c r="DW16" s="499"/>
      <x:c r="DX16" s="499"/>
      <x:c r="DY16" s="499"/>
      <x:c r="DZ16" s="499"/>
      <x:c r="EA16" s="499"/>
      <x:c r="EB16" s="499"/>
      <x:c r="EC16" s="499"/>
      <x:c r="ED16" s="499"/>
      <x:c r="EE16" s="499"/>
      <x:c r="EF16" s="499"/>
      <x:c r="EG16" s="499"/>
      <x:c r="EH16" s="499"/>
      <x:c r="EI16" s="499"/>
      <x:c r="EJ16" s="499"/>
      <x:c r="EK16" s="499"/>
      <x:c r="EL16" s="499"/>
      <x:c r="EM16" s="499"/>
      <x:c r="EN16" s="499"/>
      <x:c r="EO16" s="499"/>
      <x:c r="EP16" s="499"/>
      <x:c r="EQ16" s="499"/>
      <x:c r="ER16" s="499"/>
      <x:c r="ES16" s="499"/>
      <x:c r="ET16" s="499"/>
      <x:c r="EU16" s="499"/>
    </x:row>
    <x:row r="17" ht="22" customHeight="1">
      <x:c r="A17" s="500" t="s">
        <x:v>163</x:v>
      </x:c>
      <x:c r="B17" s="502">
        <x:v>1940</x:v>
      </x:c>
      <x:c r="C17" s="502">
        <x:v>1678</x:v>
      </x:c>
      <x:c r="D17" s="506">
        <x:v>1034</x:v>
      </x:c>
      <x:c r="E17" s="506"/>
      <x:c r="F17" s="502">
        <x:v>130</x:v>
      </x:c>
      <x:c r="G17" s="506">
        <x:v>10</x:v>
      </x:c>
      <x:c r="H17" s="495"/>
      <x:c r="I17" s="506"/>
      <x:c r="J17" s="506"/>
      <x:c r="K17" s="506"/>
      <x:c r="L17" s="502">
        <x:v>10</x:v>
      </x:c>
      <x:c r="M17" s="502">
        <x:v>874</x:v>
      </x:c>
      <x:c r="N17" s="506">
        <x:v>0</x:v>
      </x:c>
      <x:c r="O17" s="506">
        <x:v>8</x:v>
      </x:c>
      <x:c r="P17" s="506">
        <x:v>2</x:v>
      </x:c>
      <x:c r="Q17" s="502">
        <x:v>644</x:v>
      </x:c>
      <x:c r="R17" s="506">
        <x:v>20</x:v>
      </x:c>
      <x:c r="S17" s="506">
        <x:v>20</x:v>
      </x:c>
      <x:c r="T17" s="495"/>
      <x:c r="U17" s="502">
        <x:v>1</x:v>
      </x:c>
      <x:c r="V17" s="495"/>
      <x:c r="W17" s="495"/>
      <x:c r="X17" s="495"/>
      <x:c r="Y17" s="502">
        <x:v>599</x:v>
      </x:c>
      <x:c r="Z17" s="502">
        <x:v>0</x:v>
      </x:c>
      <x:c r="AA17" s="495"/>
      <x:c r="AB17" s="495"/>
      <x:c r="AC17" s="502">
        <x:v>4</x:v>
      </x:c>
      <x:c r="AD17" s="502">
        <x:v>262</x:v>
      </x:c>
      <x:c r="AE17" s="502">
        <x:v>64</x:v>
      </x:c>
      <x:c r="AF17" s="495"/>
      <x:c r="AG17" s="495"/>
      <x:c r="AH17" s="495"/>
      <x:c r="AI17" s="495"/>
      <x:c r="AJ17" s="495"/>
      <x:c r="AK17" s="495"/>
      <x:c r="AL17" s="495"/>
      <x:c r="AM17" s="495"/>
      <x:c r="AN17" s="495"/>
      <x:c r="AO17" s="495"/>
      <x:c r="AP17" s="495"/>
      <x:c r="AQ17" s="502">
        <x:v>34</x:v>
      </x:c>
      <x:c r="AR17" s="502">
        <x:v>30</x:v>
      </x:c>
      <x:c r="AS17" s="502">
        <x:v>198</x:v>
      </x:c>
      <x:c r="AT17" s="495"/>
      <x:c r="AU17" s="502">
        <x:v>8</x:v>
      </x:c>
      <x:c r="AV17" s="502">
        <x:v>5</x:v>
      </x:c>
      <x:c r="AW17" s="502">
        <x:v>43</x:v>
      </x:c>
      <x:c r="AX17" s="495"/>
      <x:c r="AY17" s="495"/>
      <x:c r="AZ17" s="495"/>
      <x:c r="BA17" s="502">
        <x:v>60</x:v>
      </x:c>
      <x:c r="BB17" s="502">
        <x:v>0</x:v>
      </x:c>
      <x:c r="BC17" s="502">
        <x:v>42</x:v>
      </x:c>
      <x:c r="BD17" s="502">
        <x:v>40</x:v>
      </x:c>
      <x:c r="BE17" s="502">
        <x:v>52910400</x:v>
      </x:c>
      <x:c r="BF17" s="502">
        <x:v>27088400</x:v>
      </x:c>
      <x:c r="BG17" s="502">
        <x:v>16962200</x:v>
      </x:c>
      <x:c r="BH17" s="495"/>
      <x:c r="BI17" s="502">
        <x:v>2255000</x:v>
      </x:c>
      <x:c r="BJ17" s="502">
        <x:v>320000</x:v>
      </x:c>
      <x:c r="BK17" s="495"/>
      <x:c r="BL17" s="495"/>
      <x:c r="BM17" s="495"/>
      <x:c r="BN17" s="495"/>
      <x:c r="BO17" s="502">
        <x:v>300000</x:v>
      </x:c>
      <x:c r="BP17" s="502">
        <x:v>12935200</x:v>
      </x:c>
      <x:c r="BQ17" s="502">
        <x:v>0</x:v>
      </x:c>
      <x:c r="BR17" s="502">
        <x:v>920000</x:v>
      </x:c>
      <x:c r="BS17" s="502">
        <x:v>232000</x:v>
      </x:c>
      <x:c r="BT17" s="502">
        <x:v>10126200</x:v>
      </x:c>
      <x:c r="BU17" s="502">
        <x:v>300000</x:v>
      </x:c>
      <x:c r="BV17" s="502">
        <x:v>385000</x:v>
      </x:c>
      <x:c r="BW17" s="495"/>
      <x:c r="BX17" s="502">
        <x:v>91000</x:v>
      </x:c>
      <x:c r="BY17" s="495"/>
      <x:c r="BZ17" s="495"/>
      <x:c r="CA17" s="495"/>
      <x:c r="CB17" s="502">
        <x:v>8886200</x:v>
      </x:c>
      <x:c r="CC17" s="502">
        <x:v>0</x:v>
      </x:c>
      <x:c r="CD17" s="495"/>
      <x:c r="CE17" s="495"/>
      <x:c r="CF17" s="502">
        <x:v>464000</x:v>
      </x:c>
      <x:c r="CG17" s="502">
        <x:v>25822000</x:v>
      </x:c>
      <x:c r="CH17" s="502">
        <x:v>7564000</x:v>
      </x:c>
      <x:c r="CI17" s="495"/>
      <x:c r="CJ17" s="495"/>
      <x:c r="CK17" s="495"/>
      <x:c r="CL17" s="495"/>
      <x:c r="CM17" s="495"/>
      <x:c r="CN17" s="495"/>
      <x:c r="CO17" s="495"/>
      <x:c r="CP17" s="495"/>
      <x:c r="CQ17" s="495"/>
      <x:c r="CR17" s="495"/>
      <x:c r="CS17" s="495"/>
      <x:c r="CT17" s="502">
        <x:v>4114000</x:v>
      </x:c>
      <x:c r="CU17" s="502">
        <x:v>3450000</x:v>
      </x:c>
      <x:c r="CV17" s="502">
        <x:v>18258000</x:v>
      </x:c>
      <x:c r="CW17" s="495"/>
      <x:c r="CX17" s="502">
        <x:v>1604000</x:v>
      </x:c>
      <x:c r="CY17" s="502">
        <x:v>630000</x:v>
      </x:c>
      <x:c r="CZ17" s="502">
        <x:v>5418000</x:v>
      </x:c>
      <x:c r="DA17" s="495"/>
      <x:c r="DB17" s="495"/>
      <x:c r="DC17" s="495"/>
      <x:c r="DD17" s="502">
        <x:v>924000</x:v>
      </x:c>
      <x:c r="DE17" s="502">
        <x:v>0</x:v>
      </x:c>
      <x:c r="DF17" s="502">
        <x:v>5082000</x:v>
      </x:c>
      <x:c r="DG17" s="502">
        <x:v>4600000</x:v>
      </x:c>
      <x:c r="DH17" s="502">
        <x:v>1940</x:v>
      </x:c>
      <x:c r="DI17" s="502">
        <x:v>52910400</x:v>
      </x:c>
      <x:c r="DJ17" s="495"/>
      <x:c r="DK17" s="495"/>
      <x:c r="DL17" s="495"/>
      <x:c r="DM17" s="495"/>
      <x:c r="DN17" s="495"/>
      <x:c r="DO17" s="495"/>
      <x:c r="DP17" s="495"/>
      <x:c r="DQ17" s="495"/>
      <x:c r="DR17" s="495"/>
      <x:c r="DS17" s="495"/>
      <x:c r="DT17" s="495"/>
      <x:c r="DU17" s="495"/>
      <x:c r="DV17" s="495"/>
      <x:c r="DW17" s="495"/>
      <x:c r="DX17" s="495"/>
      <x:c r="DY17" s="495"/>
      <x:c r="DZ17" s="495"/>
      <x:c r="EA17" s="495"/>
      <x:c r="EB17" s="495"/>
      <x:c r="EC17" s="495"/>
      <x:c r="ED17" s="495"/>
      <x:c r="EE17" s="495"/>
      <x:c r="EF17" s="495"/>
      <x:c r="EG17" s="495"/>
      <x:c r="EH17" s="495"/>
      <x:c r="EI17" s="495"/>
      <x:c r="EJ17" s="495"/>
      <x:c r="EK17" s="495"/>
      <x:c r="EL17" s="495"/>
      <x:c r="EM17" s="495"/>
      <x:c r="EN17" s="495"/>
      <x:c r="EO17" s="495"/>
      <x:c r="EP17" s="495"/>
      <x:c r="EQ17" s="495"/>
      <x:c r="ER17" s="495"/>
      <x:c r="ES17" s="495"/>
      <x:c r="ET17" s="495"/>
      <x:c r="EU17" s="495"/>
    </x:row>
    <x:row r="18" ht="22" customHeight="1">
      <x:c r="A18" s="503" t="s">
        <x:v>164</x:v>
      </x:c>
      <x:c r="B18" s="504">
        <x:v>8153</x:v>
      </x:c>
      <x:c r="C18" s="505">
        <x:v>6430</x:v>
      </x:c>
      <x:c r="D18" s="504">
        <x:v>5798</x:v>
      </x:c>
      <x:c r="E18" s="504">
        <x:v>81</x:v>
      </x:c>
      <x:c r="F18" s="504">
        <x:v>390</x:v>
      </x:c>
      <x:c r="G18" s="504">
        <x:v>410</x:v>
      </x:c>
      <x:c r="H18" s="504">
        <x:v>64</x:v>
      </x:c>
      <x:c r="I18" s="499"/>
      <x:c r="J18" s="505"/>
      <x:c r="K18" s="499"/>
      <x:c r="L18" s="505">
        <x:v>160</x:v>
      </x:c>
      <x:c r="M18" s="505">
        <x:v>4643</x:v>
      </x:c>
      <x:c r="N18" s="505"/>
      <x:c r="O18" s="505">
        <x:v>32</x:v>
      </x:c>
      <x:c r="P18" s="504">
        <x:v>18</x:v>
      </x:c>
      <x:c r="Q18" s="505">
        <x:v>632</x:v>
      </x:c>
      <x:c r="R18" s="505">
        <x:v>10</x:v>
      </x:c>
      <x:c r="S18" s="505">
        <x:v>40</x:v>
      </x:c>
      <x:c r="T18" s="504">
        <x:v>30</x:v>
      </x:c>
      <x:c r="U18" s="499"/>
      <x:c r="V18" s="499"/>
      <x:c r="W18" s="499"/>
      <x:c r="X18" s="499"/>
      <x:c r="Y18" s="504">
        <x:v>550</x:v>
      </x:c>
      <x:c r="Z18" s="499"/>
      <x:c r="AA18" s="499"/>
      <x:c r="AB18" s="504">
        <x:v>2</x:v>
      </x:c>
      <x:c r="AC18" s="499"/>
      <x:c r="AD18" s="504">
        <x:v>1723</x:v>
      </x:c>
      <x:c r="AE18" s="504">
        <x:v>1413</x:v>
      </x:c>
      <x:c r="AF18" s="504">
        <x:v>31</x:v>
      </x:c>
      <x:c r="AG18" s="504">
        <x:v>25</x:v>
      </x:c>
      <x:c r="AH18" s="504">
        <x:v>16</x:v>
      </x:c>
      <x:c r="AI18" s="504">
        <x:v>188</x:v>
      </x:c>
      <x:c r="AJ18" s="504">
        <x:v>20</x:v>
      </x:c>
      <x:c r="AK18" s="499"/>
      <x:c r="AL18" s="499"/>
      <x:c r="AM18" s="504">
        <x:v>10</x:v>
      </x:c>
      <x:c r="AN18" s="504">
        <x:v>210</x:v>
      </x:c>
      <x:c r="AO18" s="499"/>
      <x:c r="AP18" s="499"/>
      <x:c r="AQ18" s="504">
        <x:v>595</x:v>
      </x:c>
      <x:c r="AR18" s="504">
        <x:v>318</x:v>
      </x:c>
      <x:c r="AS18" s="504">
        <x:v>310</x:v>
      </x:c>
      <x:c r="AT18" s="499"/>
      <x:c r="AU18" s="504">
        <x:v>6</x:v>
      </x:c>
      <x:c r="AV18" s="504">
        <x:v>3</x:v>
      </x:c>
      <x:c r="AW18" s="504">
        <x:v>41</x:v>
      </x:c>
      <x:c r="AX18" s="499"/>
      <x:c r="AY18" s="499"/>
      <x:c r="AZ18" s="504">
        <x:v>5</x:v>
      </x:c>
      <x:c r="BA18" s="504">
        <x:v>105</x:v>
      </x:c>
      <x:c r="BB18" s="499"/>
      <x:c r="BC18" s="504">
        <x:v>88</x:v>
      </x:c>
      <x:c r="BD18" s="504">
        <x:v>62</x:v>
      </x:c>
      <x:c r="BE18" s="504">
        <x:v>286088500</x:v>
      </x:c>
      <x:c r="BF18" s="504">
        <x:v>116001500</x:v>
      </x:c>
      <x:c r="BG18" s="504">
        <x:v>106032900</x:v>
      </x:c>
      <x:c r="BH18" s="504">
        <x:v>1215000</x:v>
      </x:c>
      <x:c r="BI18" s="504">
        <x:v>6517500</x:v>
      </x:c>
      <x:c r="BJ18" s="504">
        <x:v>13120000</x:v>
      </x:c>
      <x:c r="BK18" s="504">
        <x:v>5824000</x:v>
      </x:c>
      <x:c r="BL18" s="499"/>
      <x:c r="BM18" s="499"/>
      <x:c r="BN18" s="499"/>
      <x:c r="BO18" s="504">
        <x:v>4800000</x:v>
      </x:c>
      <x:c r="BP18" s="504">
        <x:v>68788400</x:v>
      </x:c>
      <x:c r="BQ18" s="499"/>
      <x:c r="BR18" s="504">
        <x:v>3680000</x:v>
      </x:c>
      <x:c r="BS18" s="504">
        <x:v>2088000</x:v>
      </x:c>
      <x:c r="BT18" s="504">
        <x:v>9968600</x:v>
      </x:c>
      <x:c r="BU18" s="504">
        <x:v>150000</x:v>
      </x:c>
      <x:c r="BV18" s="504">
        <x:v>440000</x:v>
      </x:c>
      <x:c r="BW18" s="504">
        <x:v>960000</x:v>
      </x:c>
      <x:c r="BX18" s="499"/>
      <x:c r="BY18" s="499"/>
      <x:c r="BZ18" s="499"/>
      <x:c r="CA18" s="499"/>
      <x:c r="CB18" s="504">
        <x:v>8188600</x:v>
      </x:c>
      <x:c r="CC18" s="499"/>
      <x:c r="CD18" s="499"/>
      <x:c r="CE18" s="504">
        <x:v>230000</x:v>
      </x:c>
      <x:c r="CF18" s="499"/>
      <x:c r="CG18" s="504">
        <x:v>170087000</x:v>
      </x:c>
      <x:c r="CH18" s="504">
        <x:v>143804000</x:v>
      </x:c>
      <x:c r="CI18" s="504">
        <x:v>992000</x:v>
      </x:c>
      <x:c r="CJ18" s="504">
        <x:v>4981000</x:v>
      </x:c>
      <x:c r="CK18" s="504">
        <x:v>2016000</x:v>
      </x:c>
      <x:c r="CL18" s="504">
        <x:v>23688000</x:v>
      </x:c>
      <x:c r="CM18" s="504">
        <x:v>28000</x:v>
      </x:c>
      <x:c r="CN18" s="499"/>
      <x:c r="CO18" s="499"/>
      <x:c r="CP18" s="504">
        <x:v>300000</x:v>
      </x:c>
      <x:c r="CQ18" s="504">
        <x:v>3234000</x:v>
      </x:c>
      <x:c r="CR18" s="499"/>
      <x:c r="CS18" s="499"/>
      <x:c r="CT18" s="504">
        <x:v>71995000</x:v>
      </x:c>
      <x:c r="CU18" s="504">
        <x:v>36570000</x:v>
      </x:c>
      <x:c r="CV18" s="504">
        <x:v>26283000</x:v>
      </x:c>
      <x:c r="CW18" s="499"/>
      <x:c r="CX18" s="504">
        <x:v>1194000</x:v>
      </x:c>
      <x:c r="CY18" s="504">
        <x:v>378000</x:v>
      </x:c>
      <x:c r="CZ18" s="504">
        <x:v>5166000</x:v>
      </x:c>
      <x:c r="DA18" s="499"/>
      <x:c r="DB18" s="499"/>
      <x:c r="DC18" s="504">
        <x:v>150000</x:v>
      </x:c>
      <x:c r="DD18" s="504">
        <x:v>1617000</x:v>
      </x:c>
      <x:c r="DE18" s="499"/>
      <x:c r="DF18" s="504">
        <x:v>10648000</x:v>
      </x:c>
      <x:c r="DG18" s="504">
        <x:v>7130000</x:v>
      </x:c>
      <x:c r="DH18" s="504">
        <x:v>8153</x:v>
      </x:c>
      <x:c r="DI18" s="504">
        <x:v>286088500</x:v>
      </x:c>
      <x:c r="DJ18" s="499"/>
      <x:c r="DK18" s="499"/>
      <x:c r="DL18" s="499"/>
      <x:c r="DM18" s="499"/>
      <x:c r="DN18" s="499"/>
      <x:c r="DO18" s="499"/>
      <x:c r="DP18" s="499"/>
      <x:c r="DQ18" s="499"/>
      <x:c r="DR18" s="499"/>
      <x:c r="DS18" s="499"/>
      <x:c r="DT18" s="499"/>
      <x:c r="DU18" s="499"/>
      <x:c r="DV18" s="499"/>
      <x:c r="DW18" s="499"/>
      <x:c r="DX18" s="499"/>
      <x:c r="DY18" s="499"/>
      <x:c r="DZ18" s="499"/>
      <x:c r="EA18" s="499"/>
      <x:c r="EB18" s="499"/>
      <x:c r="EC18" s="499"/>
      <x:c r="ED18" s="499"/>
      <x:c r="EE18" s="499"/>
      <x:c r="EF18" s="499"/>
      <x:c r="EG18" s="499"/>
      <x:c r="EH18" s="499"/>
      <x:c r="EI18" s="499"/>
      <x:c r="EJ18" s="499"/>
      <x:c r="EK18" s="499"/>
      <x:c r="EL18" s="499"/>
      <x:c r="EM18" s="499"/>
      <x:c r="EN18" s="499"/>
      <x:c r="EO18" s="499"/>
      <x:c r="EP18" s="499"/>
      <x:c r="EQ18" s="499"/>
      <x:c r="ER18" s="499"/>
      <x:c r="ES18" s="499"/>
      <x:c r="ET18" s="499"/>
      <x:c r="EU18" s="499"/>
    </x:row>
    <x:row r="19" ht="22" customHeight="1">
      <x:c r="A19" s="500" t="s">
        <x:v>165</x:v>
      </x:c>
      <x:c r="B19" s="502">
        <x:v>12427</x:v>
      </x:c>
      <x:c r="C19" s="506">
        <x:v>10726</x:v>
      </x:c>
      <x:c r="D19" s="502">
        <x:v>9331</x:v>
      </x:c>
      <x:c r="E19" s="506">
        <x:v>1</x:v>
      </x:c>
      <x:c r="F19" s="502">
        <x:v>190</x:v>
      </x:c>
      <x:c r="G19" s="502">
        <x:v>91</x:v>
      </x:c>
      <x:c r="H19" s="502">
        <x:v>70</x:v>
      </x:c>
      <x:c r="I19" s="506">
        <x:v>900</x:v>
      </x:c>
      <x:c r="J19" s="506"/>
      <x:c r="K19" s="495"/>
      <x:c r="L19" s="506">
        <x:v>110</x:v>
      </x:c>
      <x:c r="M19" s="502">
        <x:v>7929</x:v>
      </x:c>
      <x:c r="N19" s="502">
        <x:v>0</x:v>
      </x:c>
      <x:c r="O19" s="502">
        <x:v>2</x:v>
      </x:c>
      <x:c r="P19" s="502">
        <x:v>38</x:v>
      </x:c>
      <x:c r="Q19" s="506">
        <x:v>1395</x:v>
      </x:c>
      <x:c r="R19" s="506"/>
      <x:c r="S19" s="506">
        <x:v>20</x:v>
      </x:c>
      <x:c r="T19" s="495"/>
      <x:c r="U19" s="502">
        <x:v>2</x:v>
      </x:c>
      <x:c r="V19" s="495"/>
      <x:c r="W19" s="495"/>
      <x:c r="X19" s="502">
        <x:v>10</x:v>
      </x:c>
      <x:c r="Y19" s="502">
        <x:v>1355</x:v>
      </x:c>
      <x:c r="Z19" s="502">
        <x:v>0</x:v>
      </x:c>
      <x:c r="AA19" s="495"/>
      <x:c r="AB19" s="495"/>
      <x:c r="AC19" s="502">
        <x:v>8</x:v>
      </x:c>
      <x:c r="AD19" s="502">
        <x:v>1701</x:v>
      </x:c>
      <x:c r="AE19" s="502">
        <x:v>1529</x:v>
      </x:c>
      <x:c r="AF19" s="495"/>
      <x:c r="AG19" s="502">
        <x:v>2</x:v>
      </x:c>
      <x:c r="AH19" s="502">
        <x:v>29</x:v>
      </x:c>
      <x:c r="AI19" s="502">
        <x:v>202</x:v>
      </x:c>
      <x:c r="AJ19" s="495"/>
      <x:c r="AK19" s="495"/>
      <x:c r="AL19" s="495"/>
      <x:c r="AM19" s="495"/>
      <x:c r="AN19" s="502">
        <x:v>646</x:v>
      </x:c>
      <x:c r="AO19" s="502">
        <x:v>0</x:v>
      </x:c>
      <x:c r="AP19" s="495"/>
      <x:c r="AQ19" s="502">
        <x:v>130</x:v>
      </x:c>
      <x:c r="AR19" s="502">
        <x:v>520</x:v>
      </x:c>
      <x:c r="AS19" s="502">
        <x:v>172</x:v>
      </x:c>
      <x:c r="AT19" s="495"/>
      <x:c r="AU19" s="502">
        <x:v>4</x:v>
      </x:c>
      <x:c r="AV19" s="495"/>
      <x:c r="AW19" s="495"/>
      <x:c r="AX19" s="495"/>
      <x:c r="AY19" s="495"/>
      <x:c r="AZ19" s="495"/>
      <x:c r="BA19" s="502">
        <x:v>58</x:v>
      </x:c>
      <x:c r="BB19" s="502">
        <x:v>0</x:v>
      </x:c>
      <x:c r="BC19" s="502">
        <x:v>6</x:v>
      </x:c>
      <x:c r="BD19" s="502">
        <x:v>104</x:v>
      </x:c>
      <x:c r="BE19" s="502">
        <x:v>290645600</x:v>
      </x:c>
      <x:c r="BF19" s="502">
        <x:v>161270000</x:v>
      </x:c>
      <x:c r="BG19" s="502">
        <x:v>139433300</x:v>
      </x:c>
      <x:c r="BH19" s="502">
        <x:v>15000</x:v>
      </x:c>
      <x:c r="BI19" s="502">
        <x:v>3492500</x:v>
      </x:c>
      <x:c r="BJ19" s="502">
        <x:v>2912000</x:v>
      </x:c>
      <x:c r="BK19" s="502">
        <x:v>6370000</x:v>
      </x:c>
      <x:c r="BL19" s="502">
        <x:v>900000</x:v>
      </x:c>
      <x:c r="BM19" s="495"/>
      <x:c r="BN19" s="495"/>
      <x:c r="BO19" s="502">
        <x:v>3300000</x:v>
      </x:c>
      <x:c r="BP19" s="502">
        <x:v>117805800</x:v>
      </x:c>
      <x:c r="BQ19" s="502">
        <x:v>0</x:v>
      </x:c>
      <x:c r="BR19" s="502">
        <x:v>230000</x:v>
      </x:c>
      <x:c r="BS19" s="502">
        <x:v>4408000</x:v>
      </x:c>
      <x:c r="BT19" s="502">
        <x:v>21836700</x:v>
      </x:c>
      <x:c r="BU19" s="495"/>
      <x:c r="BV19" s="502">
        <x:v>302500</x:v>
      </x:c>
      <x:c r="BW19" s="495"/>
      <x:c r="BX19" s="502">
        <x:v>182000</x:v>
      </x:c>
      <x:c r="BY19" s="495"/>
      <x:c r="BZ19" s="495"/>
      <x:c r="CA19" s="502">
        <x:v>300000</x:v>
      </x:c>
      <x:c r="CB19" s="502">
        <x:v>20124200</x:v>
      </x:c>
      <x:c r="CC19" s="502">
        <x:v>0</x:v>
      </x:c>
      <x:c r="CD19" s="495"/>
      <x:c r="CE19" s="495"/>
      <x:c r="CF19" s="502">
        <x:v>928000</x:v>
      </x:c>
      <x:c r="CG19" s="502">
        <x:v>129375600</x:v>
      </x:c>
      <x:c r="CH19" s="502">
        <x:v>114994400</x:v>
      </x:c>
      <x:c r="CI19" s="495"/>
      <x:c r="CJ19" s="502">
        <x:v>410000</x:v>
      </x:c>
      <x:c r="CK19" s="502">
        <x:v>3654000</x:v>
      </x:c>
      <x:c r="CL19" s="502">
        <x:v>25452000</x:v>
      </x:c>
      <x:c r="CM19" s="495"/>
      <x:c r="CN19" s="495"/>
      <x:c r="CO19" s="495"/>
      <x:c r="CP19" s="495"/>
      <x:c r="CQ19" s="502">
        <x:v>9948400</x:v>
      </x:c>
      <x:c r="CR19" s="502">
        <x:v>0</x:v>
      </x:c>
      <x:c r="CS19" s="495"/>
      <x:c r="CT19" s="502">
        <x:v>15730000</x:v>
      </x:c>
      <x:c r="CU19" s="502">
        <x:v>59800000</x:v>
      </x:c>
      <x:c r="CV19" s="502">
        <x:v>14381200</x:v>
      </x:c>
      <x:c r="CW19" s="495"/>
      <x:c r="CX19" s="502">
        <x:v>802000</x:v>
      </x:c>
      <x:c r="CY19" s="495"/>
      <x:c r="CZ19" s="495"/>
      <x:c r="DA19" s="495"/>
      <x:c r="DB19" s="495"/>
      <x:c r="DC19" s="495"/>
      <x:c r="DD19" s="502">
        <x:v>893200</x:v>
      </x:c>
      <x:c r="DE19" s="502">
        <x:v>0</x:v>
      </x:c>
      <x:c r="DF19" s="502">
        <x:v>726000</x:v>
      </x:c>
      <x:c r="DG19" s="502">
        <x:v>11960000</x:v>
      </x:c>
      <x:c r="DH19" s="502">
        <x:v>12427</x:v>
      </x:c>
      <x:c r="DI19" s="502">
        <x:v>290645600</x:v>
      </x:c>
      <x:c r="DJ19" s="495"/>
      <x:c r="DK19" s="495"/>
      <x:c r="DL19" s="495"/>
      <x:c r="DM19" s="495"/>
      <x:c r="DN19" s="495"/>
      <x:c r="DO19" s="495"/>
      <x:c r="DP19" s="495"/>
      <x:c r="DQ19" s="495"/>
      <x:c r="DR19" s="495"/>
      <x:c r="DS19" s="495"/>
      <x:c r="DT19" s="495"/>
      <x:c r="DU19" s="495"/>
      <x:c r="DV19" s="495"/>
      <x:c r="DW19" s="495"/>
      <x:c r="DX19" s="495"/>
      <x:c r="DY19" s="495"/>
      <x:c r="DZ19" s="495"/>
      <x:c r="EA19" s="495"/>
      <x:c r="EB19" s="495"/>
      <x:c r="EC19" s="495"/>
      <x:c r="ED19" s="495"/>
      <x:c r="EE19" s="495"/>
      <x:c r="EF19" s="495"/>
      <x:c r="EG19" s="495"/>
      <x:c r="EH19" s="495"/>
      <x:c r="EI19" s="495"/>
      <x:c r="EJ19" s="495"/>
      <x:c r="EK19" s="495"/>
      <x:c r="EL19" s="495"/>
      <x:c r="EM19" s="495"/>
      <x:c r="EN19" s="495"/>
      <x:c r="EO19" s="495"/>
      <x:c r="EP19" s="495"/>
      <x:c r="EQ19" s="495"/>
      <x:c r="ER19" s="495"/>
      <x:c r="ES19" s="495"/>
      <x:c r="ET19" s="495"/>
      <x:c r="EU19" s="495"/>
    </x:row>
    <x:row r="20" ht="22" customHeight="1">
      <x:c r="A20" s="503" t="s">
        <x:v>166</x:v>
      </x:c>
      <x:c r="B20" s="504">
        <x:v>6272</x:v>
      </x:c>
      <x:c r="C20" s="505">
        <x:v>4111</x:v>
      </x:c>
      <x:c r="D20" s="504">
        <x:v>3206</x:v>
      </x:c>
      <x:c r="E20" s="504">
        <x:v>10</x:v>
      </x:c>
      <x:c r="F20" s="505">
        <x:v>75</x:v>
      </x:c>
      <x:c r="G20" s="504">
        <x:v>10</x:v>
      </x:c>
      <x:c r="H20" s="504">
        <x:v>55</x:v>
      </x:c>
      <x:c r="I20" s="499"/>
      <x:c r="J20" s="505"/>
      <x:c r="K20" s="499"/>
      <x:c r="L20" s="505">
        <x:v>5</x:v>
      </x:c>
      <x:c r="M20" s="504">
        <x:v>3027</x:v>
      </x:c>
      <x:c r="N20" s="499"/>
      <x:c r="O20" s="499"/>
      <x:c r="P20" s="504">
        <x:v>24</x:v>
      </x:c>
      <x:c r="Q20" s="504">
        <x:v>905</x:v>
      </x:c>
      <x:c r="R20" s="499"/>
      <x:c r="S20" s="504">
        <x:v>35</x:v>
      </x:c>
      <x:c r="T20" s="504">
        <x:v>5</x:v>
      </x:c>
      <x:c r="U20" s="504">
        <x:v>31</x:v>
      </x:c>
      <x:c r="V20" s="499"/>
      <x:c r="W20" s="499"/>
      <x:c r="X20" s="499"/>
      <x:c r="Y20" s="504">
        <x:v>816</x:v>
      </x:c>
      <x:c r="Z20" s="499"/>
      <x:c r="AA20" s="499"/>
      <x:c r="AB20" s="499"/>
      <x:c r="AC20" s="504">
        <x:v>18</x:v>
      </x:c>
      <x:c r="AD20" s="504">
        <x:v>2161</x:v>
      </x:c>
      <x:c r="AE20" s="504">
        <x:v>1414</x:v>
      </x:c>
      <x:c r="AF20" s="499"/>
      <x:c r="AG20" s="504">
        <x:v>49</x:v>
      </x:c>
      <x:c r="AH20" s="504">
        <x:v>8</x:v>
      </x:c>
      <x:c r="AI20" s="504">
        <x:v>28</x:v>
      </x:c>
      <x:c r="AJ20" s="499"/>
      <x:c r="AK20" s="499"/>
      <x:c r="AL20" s="499"/>
      <x:c r="AM20" s="504">
        <x:v>20</x:v>
      </x:c>
      <x:c r="AN20" s="504">
        <x:v>809</x:v>
      </x:c>
      <x:c r="AO20" s="499"/>
      <x:c r="AP20" s="499"/>
      <x:c r="AQ20" s="504">
        <x:v>46</x:v>
      </x:c>
      <x:c r="AR20" s="504">
        <x:v>454</x:v>
      </x:c>
      <x:c r="AS20" s="504">
        <x:v>747</x:v>
      </x:c>
      <x:c r="AT20" s="499"/>
      <x:c r="AU20" s="504">
        <x:v>11</x:v>
      </x:c>
      <x:c r="AV20" s="504">
        <x:v>10</x:v>
      </x:c>
      <x:c r="AW20" s="504">
        <x:v>6</x:v>
      </x:c>
      <x:c r="AX20" s="499"/>
      <x:c r="AY20" s="504">
        <x:v>300</x:v>
      </x:c>
      <x:c r="AZ20" s="499"/>
      <x:c r="BA20" s="504">
        <x:v>364</x:v>
      </x:c>
      <x:c r="BB20" s="499"/>
      <x:c r="BC20" s="499"/>
      <x:c r="BD20" s="504">
        <x:v>56</x:v>
      </x:c>
      <x:c r="BE20" s="504">
        <x:v>175072700</x:v>
      </x:c>
      <x:c r="BF20" s="504">
        <x:v>73430500</x:v>
      </x:c>
      <x:c r="BG20" s="504">
        <x:v>55650100</x:v>
      </x:c>
      <x:c r="BH20" s="504">
        <x:v>150000</x:v>
      </x:c>
      <x:c r="BI20" s="504">
        <x:v>1424500</x:v>
      </x:c>
      <x:c r="BJ20" s="504">
        <x:v>320000</x:v>
      </x:c>
      <x:c r="BK20" s="504">
        <x:v>5005000</x:v>
      </x:c>
      <x:c r="BL20" s="499"/>
      <x:c r="BM20" s="499"/>
      <x:c r="BN20" s="499"/>
      <x:c r="BO20" s="504">
        <x:v>150000</x:v>
      </x:c>
      <x:c r="BP20" s="504">
        <x:v>45816600</x:v>
      </x:c>
      <x:c r="BQ20" s="499"/>
      <x:c r="BR20" s="499"/>
      <x:c r="BS20" s="504">
        <x:v>2784000</x:v>
      </x:c>
      <x:c r="BT20" s="504">
        <x:v>17780400</x:v>
      </x:c>
      <x:c r="BU20" s="499"/>
      <x:c r="BV20" s="504">
        <x:v>385000</x:v>
      </x:c>
      <x:c r="BW20" s="504">
        <x:v>160000</x:v>
      </x:c>
      <x:c r="BX20" s="504">
        <x:v>2821000</x:v>
      </x:c>
      <x:c r="BY20" s="499"/>
      <x:c r="BZ20" s="499"/>
      <x:c r="CA20" s="499"/>
      <x:c r="CB20" s="504">
        <x:v>12326400</x:v>
      </x:c>
      <x:c r="CC20" s="499"/>
      <x:c r="CD20" s="499"/>
      <x:c r="CE20" s="499"/>
      <x:c r="CF20" s="504">
        <x:v>2088000</x:v>
      </x:c>
      <x:c r="CG20" s="504">
        <x:v>101642200</x:v>
      </x:c>
      <x:c r="CH20" s="504">
        <x:v>85199600</x:v>
      </x:c>
      <x:c r="CI20" s="499"/>
      <x:c r="CJ20" s="504">
        <x:v>9829000</x:v>
      </x:c>
      <x:c r="CK20" s="504">
        <x:v>1008000</x:v>
      </x:c>
      <x:c r="CL20" s="504">
        <x:v>3528000</x:v>
      </x:c>
      <x:c r="CM20" s="499"/>
      <x:c r="CN20" s="499"/>
      <x:c r="CO20" s="499"/>
      <x:c r="CP20" s="504">
        <x:v>600000</x:v>
      </x:c>
      <x:c r="CQ20" s="504">
        <x:v>12458600</x:v>
      </x:c>
      <x:c r="CR20" s="499"/>
      <x:c r="CS20" s="499"/>
      <x:c r="CT20" s="504">
        <x:v>5566000</x:v>
      </x:c>
      <x:c r="CU20" s="504">
        <x:v>52210000</x:v>
      </x:c>
      <x:c r="CV20" s="504">
        <x:v>16442600</x:v>
      </x:c>
      <x:c r="CW20" s="499"/>
      <x:c r="CX20" s="504">
        <x:v>2201000</x:v>
      </x:c>
      <x:c r="CY20" s="504">
        <x:v>1260000</x:v>
      </x:c>
      <x:c r="CZ20" s="504">
        <x:v>756000</x:v>
      </x:c>
      <x:c r="DA20" s="499"/>
      <x:c r="DB20" s="504">
        <x:v>180000</x:v>
      </x:c>
      <x:c r="DC20" s="499"/>
      <x:c r="DD20" s="504">
        <x:v>5605600</x:v>
      </x:c>
      <x:c r="DE20" s="499"/>
      <x:c r="DF20" s="499"/>
      <x:c r="DG20" s="504">
        <x:v>6440000</x:v>
      </x:c>
      <x:c r="DH20" s="504">
        <x:v>6272</x:v>
      </x:c>
      <x:c r="DI20" s="504">
        <x:v>175072700</x:v>
      </x:c>
      <x:c r="DJ20" s="499"/>
      <x:c r="DK20" s="499"/>
      <x:c r="DL20" s="499"/>
      <x:c r="DM20" s="499"/>
      <x:c r="DN20" s="499"/>
      <x:c r="DO20" s="499"/>
      <x:c r="DP20" s="499"/>
      <x:c r="DQ20" s="499"/>
      <x:c r="DR20" s="499"/>
      <x:c r="DS20" s="499"/>
      <x:c r="DT20" s="499"/>
      <x:c r="DU20" s="499"/>
      <x:c r="DV20" s="499"/>
      <x:c r="DW20" s="499"/>
      <x:c r="DX20" s="499"/>
      <x:c r="DY20" s="499"/>
      <x:c r="DZ20" s="499"/>
      <x:c r="EA20" s="499"/>
      <x:c r="EB20" s="499"/>
      <x:c r="EC20" s="499"/>
      <x:c r="ED20" s="499"/>
      <x:c r="EE20" s="499"/>
      <x:c r="EF20" s="499"/>
      <x:c r="EG20" s="499"/>
      <x:c r="EH20" s="499"/>
      <x:c r="EI20" s="499"/>
      <x:c r="EJ20" s="499"/>
      <x:c r="EK20" s="499"/>
      <x:c r="EL20" s="499"/>
      <x:c r="EM20" s="499"/>
      <x:c r="EN20" s="499"/>
      <x:c r="EO20" s="499"/>
      <x:c r="EP20" s="499"/>
      <x:c r="EQ20" s="499"/>
      <x:c r="ER20" s="499"/>
      <x:c r="ES20" s="499"/>
      <x:c r="ET20" s="499"/>
      <x:c r="EU20" s="499"/>
    </x:row>
    <x:row r="21" ht="22" customHeight="1">
      <x:c r="A21" s="500" t="s">
        <x:v>167</x:v>
      </x:c>
      <x:c r="B21" s="502">
        <x:v>3306</x:v>
      </x:c>
      <x:c r="C21" s="502">
        <x:v>2995</x:v>
      </x:c>
      <x:c r="D21" s="502">
        <x:v>1964</x:v>
      </x:c>
      <x:c r="E21" s="502">
        <x:v>67</x:v>
      </x:c>
      <x:c r="F21" s="502">
        <x:v>193</x:v>
      </x:c>
      <x:c r="G21" s="502">
        <x:v>120</x:v>
      </x:c>
      <x:c r="H21" s="502">
        <x:v>60</x:v>
      </x:c>
      <x:c r="I21" s="506"/>
      <x:c r="J21" s="495"/>
      <x:c r="K21" s="495"/>
      <x:c r="L21" s="502">
        <x:v>27</x:v>
      </x:c>
      <x:c r="M21" s="502">
        <x:v>1411</x:v>
      </x:c>
      <x:c r="N21" s="495"/>
      <x:c r="O21" s="502">
        <x:v>46</x:v>
      </x:c>
      <x:c r="P21" s="502">
        <x:v>40</x:v>
      </x:c>
      <x:c r="Q21" s="502">
        <x:v>1031</x:v>
      </x:c>
      <x:c r="R21" s="506"/>
      <x:c r="S21" s="506">
        <x:v>147</x:v>
      </x:c>
      <x:c r="T21" s="502">
        <x:v>16</x:v>
      </x:c>
      <x:c r="U21" s="495"/>
      <x:c r="V21" s="502">
        <x:v>8</x:v>
      </x:c>
      <x:c r="W21" s="495"/>
      <x:c r="X21" s="502">
        <x:v>25</x:v>
      </x:c>
      <x:c r="Y21" s="502">
        <x:v>833</x:v>
      </x:c>
      <x:c r="Z21" s="495"/>
      <x:c r="AA21" s="495"/>
      <x:c r="AB21" s="495"/>
      <x:c r="AC21" s="502">
        <x:v>2</x:v>
      </x:c>
      <x:c r="AD21" s="502">
        <x:v>311</x:v>
      </x:c>
      <x:c r="AE21" s="502">
        <x:v>227</x:v>
      </x:c>
      <x:c r="AF21" s="495"/>
      <x:c r="AG21" s="495"/>
      <x:c r="AH21" s="502">
        <x:v>22</x:v>
      </x:c>
      <x:c r="AI21" s="502">
        <x:v>26</x:v>
      </x:c>
      <x:c r="AJ21" s="495"/>
      <x:c r="AK21" s="495"/>
      <x:c r="AL21" s="495"/>
      <x:c r="AM21" s="495"/>
      <x:c r="AN21" s="502">
        <x:v>138</x:v>
      </x:c>
      <x:c r="AO21" s="495"/>
      <x:c r="AP21" s="495"/>
      <x:c r="AQ21" s="502">
        <x:v>19</x:v>
      </x:c>
      <x:c r="AR21" s="502">
        <x:v>22</x:v>
      </x:c>
      <x:c r="AS21" s="502">
        <x:v>84</x:v>
      </x:c>
      <x:c r="AT21" s="495"/>
      <x:c r="AU21" s="495"/>
      <x:c r="AV21" s="502">
        <x:v>6</x:v>
      </x:c>
      <x:c r="AW21" s="502">
        <x:v>2</x:v>
      </x:c>
      <x:c r="AX21" s="495"/>
      <x:c r="AY21" s="495"/>
      <x:c r="AZ21" s="495"/>
      <x:c r="BA21" s="502">
        <x:v>64</x:v>
      </x:c>
      <x:c r="BB21" s="495"/>
      <x:c r="BC21" s="495"/>
      <x:c r="BD21" s="502">
        <x:v>12</x:v>
      </x:c>
      <x:c r="BE21" s="502">
        <x:v>77871700</x:v>
      </x:c>
      <x:c r="BF21" s="502">
        <x:v>61495900</x:v>
      </x:c>
      <x:c r="BG21" s="502">
        <x:v>45103800</x:v>
      </x:c>
      <x:c r="BH21" s="502">
        <x:v>1005000</x:v>
      </x:c>
      <x:c r="BI21" s="502">
        <x:v>2981000</x:v>
      </x:c>
      <x:c r="BJ21" s="502">
        <x:v>3840000</x:v>
      </x:c>
      <x:c r="BK21" s="502">
        <x:v>5460000</x:v>
      </x:c>
      <x:c r="BL21" s="495"/>
      <x:c r="BM21" s="495"/>
      <x:c r="BN21" s="495"/>
      <x:c r="BO21" s="502">
        <x:v>810000</x:v>
      </x:c>
      <x:c r="BP21" s="502">
        <x:v>21077800</x:v>
      </x:c>
      <x:c r="BQ21" s="495"/>
      <x:c r="BR21" s="502">
        <x:v>5290000</x:v>
      </x:c>
      <x:c r="BS21" s="502">
        <x:v>4640000</x:v>
      </x:c>
      <x:c r="BT21" s="502">
        <x:v>16392100</x:v>
      </x:c>
      <x:c r="BU21" s="495"/>
      <x:c r="BV21" s="502">
        <x:v>2480500</x:v>
      </x:c>
      <x:c r="BW21" s="502">
        <x:v>512000</x:v>
      </x:c>
      <x:c r="BX21" s="495"/>
      <x:c r="BY21" s="502">
        <x:v>11200</x:v>
      </x:c>
      <x:c r="BZ21" s="495"/>
      <x:c r="CA21" s="502">
        <x:v>750000</x:v>
      </x:c>
      <x:c r="CB21" s="502">
        <x:v>12406400</x:v>
      </x:c>
      <x:c r="CC21" s="495"/>
      <x:c r="CD21" s="495"/>
      <x:c r="CE21" s="495"/>
      <x:c r="CF21" s="502">
        <x:v>232000</x:v>
      </x:c>
      <x:c r="CG21" s="502">
        <x:v>16375800</x:v>
      </x:c>
      <x:c r="CH21" s="502">
        <x:v>13002200</x:v>
      </x:c>
      <x:c r="CI21" s="495"/>
      <x:c r="CJ21" s="495"/>
      <x:c r="CK21" s="502">
        <x:v>2772000</x:v>
      </x:c>
      <x:c r="CL21" s="502">
        <x:v>3276000</x:v>
      </x:c>
      <x:c r="CM21" s="495"/>
      <x:c r="CN21" s="495"/>
      <x:c r="CO21" s="495"/>
      <x:c r="CP21" s="495"/>
      <x:c r="CQ21" s="502">
        <x:v>2125200</x:v>
      </x:c>
      <x:c r="CR21" s="495"/>
      <x:c r="CS21" s="495"/>
      <x:c r="CT21" s="502">
        <x:v>2299000</x:v>
      </x:c>
      <x:c r="CU21" s="502">
        <x:v>2530000</x:v>
      </x:c>
      <x:c r="CV21" s="502">
        <x:v>3373600</x:v>
      </x:c>
      <x:c r="CW21" s="495"/>
      <x:c r="CX21" s="495"/>
      <x:c r="CY21" s="502">
        <x:v>756000</x:v>
      </x:c>
      <x:c r="CZ21" s="502">
        <x:v>252000</x:v>
      </x:c>
      <x:c r="DA21" s="495"/>
      <x:c r="DB21" s="495"/>
      <x:c r="DC21" s="495"/>
      <x:c r="DD21" s="502">
        <x:v>985600</x:v>
      </x:c>
      <x:c r="DE21" s="495"/>
      <x:c r="DF21" s="495"/>
      <x:c r="DG21" s="502">
        <x:v>1380000</x:v>
      </x:c>
      <x:c r="DH21" s="502">
        <x:v>3306</x:v>
      </x:c>
      <x:c r="DI21" s="502">
        <x:v>77871700</x:v>
      </x:c>
      <x:c r="DJ21" s="495"/>
      <x:c r="DK21" s="495"/>
      <x:c r="DL21" s="495"/>
      <x:c r="DM21" s="495"/>
      <x:c r="DN21" s="495"/>
      <x:c r="DO21" s="495"/>
      <x:c r="DP21" s="495"/>
      <x:c r="DQ21" s="495"/>
      <x:c r="DR21" s="495"/>
      <x:c r="DS21" s="495"/>
      <x:c r="DT21" s="495"/>
      <x:c r="DU21" s="495"/>
      <x:c r="DV21" s="495"/>
      <x:c r="DW21" s="495"/>
      <x:c r="DX21" s="495"/>
      <x:c r="DY21" s="495"/>
      <x:c r="DZ21" s="495"/>
      <x:c r="EA21" s="495"/>
      <x:c r="EB21" s="495"/>
      <x:c r="EC21" s="495"/>
      <x:c r="ED21" s="495"/>
      <x:c r="EE21" s="495"/>
      <x:c r="EF21" s="495"/>
      <x:c r="EG21" s="495"/>
      <x:c r="EH21" s="495"/>
      <x:c r="EI21" s="495"/>
      <x:c r="EJ21" s="495"/>
      <x:c r="EK21" s="495"/>
      <x:c r="EL21" s="495"/>
      <x:c r="EM21" s="495"/>
      <x:c r="EN21" s="495"/>
      <x:c r="EO21" s="495"/>
      <x:c r="EP21" s="495"/>
      <x:c r="EQ21" s="495"/>
      <x:c r="ER21" s="495"/>
      <x:c r="ES21" s="495"/>
      <x:c r="ET21" s="495"/>
      <x:c r="EU21" s="495"/>
    </x:row>
    <x:row r="22" ht="22" customHeight="1">
      <x:c r="A22" s="503" t="s">
        <x:v>168</x:v>
      </x:c>
      <x:c r="B22" s="504">
        <x:v>5947</x:v>
      </x:c>
      <x:c r="C22" s="505">
        <x:v>4975</x:v>
      </x:c>
      <x:c r="D22" s="504">
        <x:v>4323</x:v>
      </x:c>
      <x:c r="E22" s="505">
        <x:v>32</x:v>
      </x:c>
      <x:c r="F22" s="504">
        <x:v>125</x:v>
      </x:c>
      <x:c r="G22" s="504">
        <x:v>157</x:v>
      </x:c>
      <x:c r="H22" s="505">
        <x:v>84</x:v>
      </x:c>
      <x:c r="I22" s="505"/>
      <x:c r="J22" s="505"/>
      <x:c r="K22" s="505"/>
      <x:c r="L22" s="505">
        <x:v>45</x:v>
      </x:c>
      <x:c r="M22" s="504">
        <x:v>3814</x:v>
      </x:c>
      <x:c r="N22" s="499"/>
      <x:c r="O22" s="504">
        <x:v>48</x:v>
      </x:c>
      <x:c r="P22" s="504">
        <x:v>18</x:v>
      </x:c>
      <x:c r="Q22" s="505">
        <x:v>652</x:v>
      </x:c>
      <x:c r="R22" s="505">
        <x:v>5</x:v>
      </x:c>
      <x:c r="S22" s="505">
        <x:v>35</x:v>
      </x:c>
      <x:c r="T22" s="504">
        <x:v>30</x:v>
      </x:c>
      <x:c r="U22" s="504">
        <x:v>39</x:v>
      </x:c>
      <x:c r="V22" s="499"/>
      <x:c r="W22" s="499"/>
      <x:c r="X22" s="504">
        <x:v>10</x:v>
      </x:c>
      <x:c r="Y22" s="504">
        <x:v>531</x:v>
      </x:c>
      <x:c r="Z22" s="499"/>
      <x:c r="AA22" s="499"/>
      <x:c r="AB22" s="499"/>
      <x:c r="AC22" s="504">
        <x:v>2</x:v>
      </x:c>
      <x:c r="AD22" s="504">
        <x:v>972</x:v>
      </x:c>
      <x:c r="AE22" s="504">
        <x:v>606</x:v>
      </x:c>
      <x:c r="AF22" s="499"/>
      <x:c r="AG22" s="504">
        <x:v>4</x:v>
      </x:c>
      <x:c r="AH22" s="504">
        <x:v>7</x:v>
      </x:c>
      <x:c r="AI22" s="504">
        <x:v>41</x:v>
      </x:c>
      <x:c r="AJ22" s="499"/>
      <x:c r="AK22" s="499"/>
      <x:c r="AL22" s="499"/>
      <x:c r="AM22" s="499"/>
      <x:c r="AN22" s="504">
        <x:v>236</x:v>
      </x:c>
      <x:c r="AO22" s="499"/>
      <x:c r="AP22" s="499"/>
      <x:c r="AQ22" s="504">
        <x:v>88</x:v>
      </x:c>
      <x:c r="AR22" s="504">
        <x:v>230</x:v>
      </x:c>
      <x:c r="AS22" s="504">
        <x:v>366</x:v>
      </x:c>
      <x:c r="AT22" s="499"/>
      <x:c r="AU22" s="499"/>
      <x:c r="AV22" s="504">
        <x:v>2</x:v>
      </x:c>
      <x:c r="AW22" s="504">
        <x:v>10</x:v>
      </x:c>
      <x:c r="AX22" s="499"/>
      <x:c r="AY22" s="499"/>
      <x:c r="AZ22" s="499"/>
      <x:c r="BA22" s="504">
        <x:v>210</x:v>
      </x:c>
      <x:c r="BB22" s="499"/>
      <x:c r="BC22" s="504">
        <x:v>58</x:v>
      </x:c>
      <x:c r="BD22" s="504">
        <x:v>86</x:v>
      </x:c>
      <x:c r="BE22" s="504">
        <x:v>163159100</x:v>
      </x:c>
      <x:c r="BF22" s="504">
        <x:v>93904700</x:v>
      </x:c>
      <x:c r="BG22" s="504">
        <x:v>80360500</x:v>
      </x:c>
      <x:c r="BH22" s="504">
        <x:v>480000</x:v>
      </x:c>
      <x:c r="BI22" s="504">
        <x:v>1622500</x:v>
      </x:c>
      <x:c r="BJ22" s="504">
        <x:v>5024000</x:v>
      </x:c>
      <x:c r="BK22" s="504">
        <x:v>7644000</x:v>
      </x:c>
      <x:c r="BL22" s="499"/>
      <x:c r="BM22" s="499"/>
      <x:c r="BN22" s="499"/>
      <x:c r="BO22" s="504">
        <x:v>1350000</x:v>
      </x:c>
      <x:c r="BP22" s="504">
        <x:v>56632000</x:v>
      </x:c>
      <x:c r="BQ22" s="499"/>
      <x:c r="BR22" s="504">
        <x:v>5520000</x:v>
      </x:c>
      <x:c r="BS22" s="504">
        <x:v>2088000</x:v>
      </x:c>
      <x:c r="BT22" s="504">
        <x:v>13544200</x:v>
      </x:c>
      <x:c r="BU22" s="504">
        <x:v>75000</x:v>
      </x:c>
      <x:c r="BV22" s="504">
        <x:v>561000</x:v>
      </x:c>
      <x:c r="BW22" s="504">
        <x:v>960000</x:v>
      </x:c>
      <x:c r="BX22" s="504">
        <x:v>3549000</x:v>
      </x:c>
      <x:c r="BY22" s="499"/>
      <x:c r="BZ22" s="499"/>
      <x:c r="CA22" s="504">
        <x:v>300000</x:v>
      </x:c>
      <x:c r="CB22" s="504">
        <x:v>7867200</x:v>
      </x:c>
      <x:c r="CC22" s="499"/>
      <x:c r="CD22" s="499"/>
      <x:c r="CE22" s="499"/>
      <x:c r="CF22" s="504">
        <x:v>232000</x:v>
      </x:c>
      <x:c r="CG22" s="504">
        <x:v>69254400</x:v>
      </x:c>
      <x:c r="CH22" s="504">
        <x:v>47600400</x:v>
      </x:c>
      <x:c r="CI22" s="499"/>
      <x:c r="CJ22" s="504">
        <x:v>820000</x:v>
      </x:c>
      <x:c r="CK22" s="504">
        <x:v>882000</x:v>
      </x:c>
      <x:c r="CL22" s="504">
        <x:v>5166000</x:v>
      </x:c>
      <x:c r="CM22" s="499"/>
      <x:c r="CN22" s="499"/>
      <x:c r="CO22" s="499"/>
      <x:c r="CP22" s="499"/>
      <x:c r="CQ22" s="504">
        <x:v>3634400</x:v>
      </x:c>
      <x:c r="CR22" s="499"/>
      <x:c r="CS22" s="499"/>
      <x:c r="CT22" s="504">
        <x:v>10648000</x:v>
      </x:c>
      <x:c r="CU22" s="504">
        <x:v>26450000</x:v>
      </x:c>
      <x:c r="CV22" s="504">
        <x:v>21654000</x:v>
      </x:c>
      <x:c r="CW22" s="499"/>
      <x:c r="CX22" s="499"/>
      <x:c r="CY22" s="504">
        <x:v>252000</x:v>
      </x:c>
      <x:c r="CZ22" s="504">
        <x:v>1260000</x:v>
      </x:c>
      <x:c r="DA22" s="499"/>
      <x:c r="DB22" s="499"/>
      <x:c r="DC22" s="499"/>
      <x:c r="DD22" s="504">
        <x:v>3234000</x:v>
      </x:c>
      <x:c r="DE22" s="499"/>
      <x:c r="DF22" s="504">
        <x:v>7018000</x:v>
      </x:c>
      <x:c r="DG22" s="504">
        <x:v>9890000</x:v>
      </x:c>
      <x:c r="DH22" s="504">
        <x:v>5947</x:v>
      </x:c>
      <x:c r="DI22" s="504">
        <x:v>163159100</x:v>
      </x:c>
      <x:c r="DJ22" s="499"/>
      <x:c r="DK22" s="499"/>
      <x:c r="DL22" s="499"/>
      <x:c r="DM22" s="499"/>
      <x:c r="DN22" s="499"/>
      <x:c r="DO22" s="499"/>
      <x:c r="DP22" s="499"/>
      <x:c r="DQ22" s="499"/>
      <x:c r="DR22" s="499"/>
      <x:c r="DS22" s="499"/>
      <x:c r="DT22" s="499"/>
      <x:c r="DU22" s="499"/>
      <x:c r="DV22" s="499"/>
      <x:c r="DW22" s="499"/>
      <x:c r="DX22" s="499"/>
      <x:c r="DY22" s="499"/>
      <x:c r="DZ22" s="499"/>
      <x:c r="EA22" s="499"/>
      <x:c r="EB22" s="499"/>
      <x:c r="EC22" s="499"/>
      <x:c r="ED22" s="499"/>
      <x:c r="EE22" s="499"/>
      <x:c r="EF22" s="499"/>
      <x:c r="EG22" s="499"/>
      <x:c r="EH22" s="499"/>
      <x:c r="EI22" s="499"/>
      <x:c r="EJ22" s="499"/>
      <x:c r="EK22" s="499"/>
      <x:c r="EL22" s="499"/>
      <x:c r="EM22" s="499"/>
      <x:c r="EN22" s="499"/>
      <x:c r="EO22" s="499"/>
      <x:c r="EP22" s="499"/>
      <x:c r="EQ22" s="499"/>
      <x:c r="ER22" s="499"/>
      <x:c r="ES22" s="499"/>
      <x:c r="ET22" s="499"/>
      <x:c r="EU22" s="499"/>
    </x:row>
    <x:row r="23" ht="22" customHeight="1">
      <x:c r="A23" s="500" t="s">
        <x:v>169</x:v>
      </x:c>
      <x:c r="B23" s="502">
        <x:v>12751</x:v>
      </x:c>
      <x:c r="C23" s="506">
        <x:v>11257</x:v>
      </x:c>
      <x:c r="D23" s="506">
        <x:v>10358</x:v>
      </x:c>
      <x:c r="E23" s="502">
        <x:v>51</x:v>
      </x:c>
      <x:c r="F23" s="502">
        <x:v>823</x:v>
      </x:c>
      <x:c r="G23" s="502">
        <x:v>482</x:v>
      </x:c>
      <x:c r="H23" s="502">
        <x:v>125</x:v>
      </x:c>
      <x:c r="I23" s="506">
        <x:v>170</x:v>
      </x:c>
      <x:c r="J23" s="506"/>
      <x:c r="K23" s="506">
        <x:v>1</x:v>
      </x:c>
      <x:c r="L23" s="506">
        <x:v>388</x:v>
      </x:c>
      <x:c r="M23" s="502">
        <x:v>8142</x:v>
      </x:c>
      <x:c r="N23" s="506"/>
      <x:c r="O23" s="506">
        <x:v>42</x:v>
      </x:c>
      <x:c r="P23" s="506">
        <x:v>134</x:v>
      </x:c>
      <x:c r="Q23" s="506">
        <x:v>899</x:v>
      </x:c>
      <x:c r="R23" s="506">
        <x:v>2</x:v>
      </x:c>
      <x:c r="S23" s="506">
        <x:v>25</x:v>
      </x:c>
      <x:c r="T23" s="502">
        <x:v>90</x:v>
      </x:c>
      <x:c r="U23" s="502">
        <x:v>7</x:v>
      </x:c>
      <x:c r="V23" s="495"/>
      <x:c r="W23" s="495"/>
      <x:c r="X23" s="502">
        <x:v>15</x:v>
      </x:c>
      <x:c r="Y23" s="502">
        <x:v>742</x:v>
      </x:c>
      <x:c r="Z23" s="495"/>
      <x:c r="AA23" s="495"/>
      <x:c r="AB23" s="502">
        <x:v>2</x:v>
      </x:c>
      <x:c r="AC23" s="502">
        <x:v>16</x:v>
      </x:c>
      <x:c r="AD23" s="502">
        <x:v>1494</x:v>
      </x:c>
      <x:c r="AE23" s="502">
        <x:v>1143</x:v>
      </x:c>
      <x:c r="AF23" s="495"/>
      <x:c r="AG23" s="502">
        <x:v>4</x:v>
      </x:c>
      <x:c r="AH23" s="502">
        <x:v>20</x:v>
      </x:c>
      <x:c r="AI23" s="502">
        <x:v>88</x:v>
      </x:c>
      <x:c r="AJ23" s="495"/>
      <x:c r="AK23" s="502">
        <x:v>20</x:v>
      </x:c>
      <x:c r="AL23" s="495"/>
      <x:c r="AM23" s="502">
        <x:v>10</x:v>
      </x:c>
      <x:c r="AN23" s="502">
        <x:v>318</x:v>
      </x:c>
      <x:c r="AO23" s="495"/>
      <x:c r="AP23" s="495"/>
      <x:c r="AQ23" s="502">
        <x:v>427</x:v>
      </x:c>
      <x:c r="AR23" s="502">
        <x:v>256</x:v>
      </x:c>
      <x:c r="AS23" s="502">
        <x:v>351</x:v>
      </x:c>
      <x:c r="AT23" s="495"/>
      <x:c r="AU23" s="495"/>
      <x:c r="AV23" s="495"/>
      <x:c r="AW23" s="495"/>
      <x:c r="AX23" s="495"/>
      <x:c r="AY23" s="502">
        <x:v>150</x:v>
      </x:c>
      <x:c r="AZ23" s="495"/>
      <x:c r="BA23" s="502">
        <x:v>70</x:v>
      </x:c>
      <x:c r="BB23" s="495"/>
      <x:c r="BC23" s="502">
        <x:v>78</x:v>
      </x:c>
      <x:c r="BD23" s="502">
        <x:v>53</x:v>
      </x:c>
      <x:c r="BE23" s="502">
        <x:v>330878700</x:v>
      </x:c>
      <x:c r="BF23" s="502">
        <x:v>213433500</x:v>
      </x:c>
      <x:c r="BG23" s="502">
        <x:v>195873100</x:v>
      </x:c>
      <x:c r="BH23" s="502">
        <x:v>765000</x:v>
      </x:c>
      <x:c r="BI23" s="502">
        <x:v>14778500</x:v>
      </x:c>
      <x:c r="BJ23" s="502">
        <x:v>15424000</x:v>
      </x:c>
      <x:c r="BK23" s="502">
        <x:v>11375000</x:v>
      </x:c>
      <x:c r="BL23" s="502">
        <x:v>235000</x:v>
      </x:c>
      <x:c r="BM23" s="495"/>
      <x:c r="BN23" s="502">
        <x:v>0</x:v>
      </x:c>
      <x:c r="BO23" s="502">
        <x:v>11640000</x:v>
      </x:c>
      <x:c r="BP23" s="502">
        <x:v>121281600</x:v>
      </x:c>
      <x:c r="BQ23" s="495"/>
      <x:c r="BR23" s="502">
        <x:v>4830000</x:v>
      </x:c>
      <x:c r="BS23" s="502">
        <x:v>15544000</x:v>
      </x:c>
      <x:c r="BT23" s="502">
        <x:v>17560400</x:v>
      </x:c>
      <x:c r="BU23" s="502">
        <x:v>30000</x:v>
      </x:c>
      <x:c r="BV23" s="502">
        <x:v>440000</x:v>
      </x:c>
      <x:c r="BW23" s="502">
        <x:v>2880000</x:v>
      </x:c>
      <x:c r="BX23" s="502">
        <x:v>637000</x:v>
      </x:c>
      <x:c r="BY23" s="495"/>
      <x:c r="BZ23" s="495"/>
      <x:c r="CA23" s="502">
        <x:v>450000</x:v>
      </x:c>
      <x:c r="CB23" s="502">
        <x:v>11037400</x:v>
      </x:c>
      <x:c r="CC23" s="495"/>
      <x:c r="CD23" s="495"/>
      <x:c r="CE23" s="502">
        <x:v>230000</x:v>
      </x:c>
      <x:c r="CF23" s="502">
        <x:v>1856000</x:v>
      </x:c>
      <x:c r="CG23" s="502">
        <x:v>117445200</x:v>
      </x:c>
      <x:c r="CH23" s="502">
        <x:v>100744200</x:v>
      </x:c>
      <x:c r="CI23" s="495"/>
      <x:c r="CJ23" s="502">
        <x:v>820000</x:v>
      </x:c>
      <x:c r="CK23" s="502">
        <x:v>2520000</x:v>
      </x:c>
      <x:c r="CL23" s="502">
        <x:v>11088000</x:v>
      </x:c>
      <x:c r="CM23" s="495"/>
      <x:c r="CN23" s="502">
        <x:v>12000</x:v>
      </x:c>
      <x:c r="CO23" s="495"/>
      <x:c r="CP23" s="502">
        <x:v>300000</x:v>
      </x:c>
      <x:c r="CQ23" s="502">
        <x:v>4897200</x:v>
      </x:c>
      <x:c r="CR23" s="495"/>
      <x:c r="CS23" s="495"/>
      <x:c r="CT23" s="502">
        <x:v>51667000</x:v>
      </x:c>
      <x:c r="CU23" s="502">
        <x:v>29440000</x:v>
      </x:c>
      <x:c r="CV23" s="502">
        <x:v>16701000</x:v>
      </x:c>
      <x:c r="CW23" s="495"/>
      <x:c r="CX23" s="495"/>
      <x:c r="CY23" s="495"/>
      <x:c r="CZ23" s="495"/>
      <x:c r="DA23" s="495"/>
      <x:c r="DB23" s="502">
        <x:v>90000</x:v>
      </x:c>
      <x:c r="DC23" s="495"/>
      <x:c r="DD23" s="502">
        <x:v>1078000</x:v>
      </x:c>
      <x:c r="DE23" s="495"/>
      <x:c r="DF23" s="502">
        <x:v>9438000</x:v>
      </x:c>
      <x:c r="DG23" s="502">
        <x:v>6095000</x:v>
      </x:c>
      <x:c r="DH23" s="502">
        <x:v>12751</x:v>
      </x:c>
      <x:c r="DI23" s="502">
        <x:v>330878700</x:v>
      </x:c>
      <x:c r="DJ23" s="495"/>
      <x:c r="DK23" s="495"/>
      <x:c r="DL23" s="495"/>
      <x:c r="DM23" s="495"/>
      <x:c r="DN23" s="495"/>
      <x:c r="DO23" s="495"/>
      <x:c r="DP23" s="495"/>
      <x:c r="DQ23" s="495"/>
      <x:c r="DR23" s="495"/>
      <x:c r="DS23" s="495"/>
      <x:c r="DT23" s="495"/>
      <x:c r="DU23" s="495"/>
      <x:c r="DV23" s="495"/>
      <x:c r="DW23" s="495"/>
      <x:c r="DX23" s="495"/>
      <x:c r="DY23" s="495"/>
      <x:c r="DZ23" s="495"/>
      <x:c r="EA23" s="495"/>
      <x:c r="EB23" s="495"/>
      <x:c r="EC23" s="495"/>
      <x:c r="ED23" s="495"/>
      <x:c r="EE23" s="495"/>
      <x:c r="EF23" s="495"/>
      <x:c r="EG23" s="495"/>
      <x:c r="EH23" s="495"/>
      <x:c r="EI23" s="495"/>
      <x:c r="EJ23" s="495"/>
      <x:c r="EK23" s="495"/>
      <x:c r="EL23" s="495"/>
      <x:c r="EM23" s="495"/>
      <x:c r="EN23" s="495"/>
      <x:c r="EO23" s="495"/>
      <x:c r="EP23" s="495"/>
      <x:c r="EQ23" s="495"/>
      <x:c r="ER23" s="495"/>
      <x:c r="ES23" s="495"/>
      <x:c r="ET23" s="495"/>
      <x:c r="EU23" s="495"/>
    </x:row>
    <x:row r="24" ht="22" customHeight="1">
      <x:c r="A24" s="503" t="s">
        <x:v>170</x:v>
      </x:c>
      <x:c r="B24" s="504">
        <x:v>17933</x:v>
      </x:c>
      <x:c r="C24" s="505">
        <x:v>15291</x:v>
      </x:c>
      <x:c r="D24" s="505">
        <x:v>6077</x:v>
      </x:c>
      <x:c r="E24" s="504">
        <x:v>30</x:v>
      </x:c>
      <x:c r="F24" s="505">
        <x:v>90</x:v>
      </x:c>
      <x:c r="G24" s="504">
        <x:v>220</x:v>
      </x:c>
      <x:c r="H24" s="504">
        <x:v>22</x:v>
      </x:c>
      <x:c r="I24" s="505"/>
      <x:c r="J24" s="505"/>
      <x:c r="K24" s="505"/>
      <x:c r="L24" s="505">
        <x:v>155</x:v>
      </x:c>
      <x:c r="M24" s="504">
        <x:v>5540</x:v>
      </x:c>
      <x:c r="N24" s="504">
        <x:v>0</x:v>
      </x:c>
      <x:c r="O24" s="504">
        <x:v>2</x:v>
      </x:c>
      <x:c r="P24" s="504">
        <x:v>18</x:v>
      </x:c>
      <x:c r="Q24" s="505">
        <x:v>9214</x:v>
      </x:c>
      <x:c r="R24" s="504">
        <x:v>39</x:v>
      </x:c>
      <x:c r="S24" s="505">
        <x:v>322</x:v>
      </x:c>
      <x:c r="T24" s="504">
        <x:v>141</x:v>
      </x:c>
      <x:c r="U24" s="504">
        <x:v>68</x:v>
      </x:c>
      <x:c r="V24" s="504">
        <x:v>20</x:v>
      </x:c>
      <x:c r="W24" s="499"/>
      <x:c r="X24" s="504">
        <x:v>122</x:v>
      </x:c>
      <x:c r="Y24" s="504">
        <x:v>8464</x:v>
      </x:c>
      <x:c r="Z24" s="504">
        <x:v>0</x:v>
      </x:c>
      <x:c r="AA24" s="504">
        <x:v>1</x:v>
      </x:c>
      <x:c r="AB24" s="504">
        <x:v>17</x:v>
      </x:c>
      <x:c r="AC24" s="504">
        <x:v>20</x:v>
      </x:c>
      <x:c r="AD24" s="504">
        <x:v>2642</x:v>
      </x:c>
      <x:c r="AE24" s="504">
        <x:v>1275</x:v>
      </x:c>
      <x:c r="AF24" s="499"/>
      <x:c r="AG24" s="504">
        <x:v>4</x:v>
      </x:c>
      <x:c r="AH24" s="504">
        <x:v>231</x:v>
      </x:c>
      <x:c r="AI24" s="504">
        <x:v>259</x:v>
      </x:c>
      <x:c r="AJ24" s="504">
        <x:v>10</x:v>
      </x:c>
      <x:c r="AK24" s="499"/>
      <x:c r="AL24" s="499"/>
      <x:c r="AM24" s="504">
        <x:v>10</x:v>
      </x:c>
      <x:c r="AN24" s="504">
        <x:v>413</x:v>
      </x:c>
      <x:c r="AO24" s="504">
        <x:v>0</x:v>
      </x:c>
      <x:c r="AP24" s="504">
        <x:v>2</x:v>
      </x:c>
      <x:c r="AQ24" s="504">
        <x:v>214</x:v>
      </x:c>
      <x:c r="AR24" s="504">
        <x:v>132</x:v>
      </x:c>
      <x:c r="AS24" s="504">
        <x:v>1367</x:v>
      </x:c>
      <x:c r="AT24" s="504">
        <x:v>7</x:v>
      </x:c>
      <x:c r="AU24" s="504">
        <x:v>7</x:v>
      </x:c>
      <x:c r="AV24" s="504">
        <x:v>94</x:v>
      </x:c>
      <x:c r="AW24" s="504">
        <x:v>206</x:v>
      </x:c>
      <x:c r="AX24" s="504">
        <x:v>10</x:v>
      </x:c>
      <x:c r="AY24" s="499"/>
      <x:c r="AZ24" s="499"/>
      <x:c r="BA24" s="504">
        <x:v>767</x:v>
      </x:c>
      <x:c r="BB24" s="504">
        <x:v>0</x:v>
      </x:c>
      <x:c r="BC24" s="504">
        <x:v>126</x:v>
      </x:c>
      <x:c r="BD24" s="504">
        <x:v>150</x:v>
      </x:c>
      <x:c r="BE24" s="504">
        <x:v>445545500</x:v>
      </x:c>
      <x:c r="BF24" s="504">
        <x:v>251162500</x:v>
      </x:c>
      <x:c r="BG24" s="504">
        <x:v>100375600</x:v>
      </x:c>
      <x:c r="BH24" s="504">
        <x:v>450000</x:v>
      </x:c>
      <x:c r="BI24" s="504">
        <x:v>1650000</x:v>
      </x:c>
      <x:c r="BJ24" s="504">
        <x:v>7040000</x:v>
      </x:c>
      <x:c r="BK24" s="504">
        <x:v>2002000</x:v>
      </x:c>
      <x:c r="BL24" s="499"/>
      <x:c r="BM24" s="499"/>
      <x:c r="BN24" s="499"/>
      <x:c r="BO24" s="504">
        <x:v>4650000</x:v>
      </x:c>
      <x:c r="BP24" s="504">
        <x:v>82265600</x:v>
      </x:c>
      <x:c r="BQ24" s="504">
        <x:v>0</x:v>
      </x:c>
      <x:c r="BR24" s="504">
        <x:v>230000</x:v>
      </x:c>
      <x:c r="BS24" s="504">
        <x:v>2088000</x:v>
      </x:c>
      <x:c r="BT24" s="504">
        <x:v>150786900</x:v>
      </x:c>
      <x:c r="BU24" s="504">
        <x:v>585000</x:v>
      </x:c>
      <x:c r="BV24" s="504">
        <x:v>5824500</x:v>
      </x:c>
      <x:c r="BW24" s="504">
        <x:v>4512000</x:v>
      </x:c>
      <x:c r="BX24" s="504">
        <x:v>6188000</x:v>
      </x:c>
      <x:c r="BY24" s="504">
        <x:v>27000</x:v>
      </x:c>
      <x:c r="BZ24" s="499"/>
      <x:c r="CA24" s="504">
        <x:v>3660000</x:v>
      </x:c>
      <x:c r="CB24" s="504">
        <x:v>125550400</x:v>
      </x:c>
      <x:c r="CC24" s="504">
        <x:v>0</x:v>
      </x:c>
      <x:c r="CD24" s="504">
        <x:v>165000</x:v>
      </x:c>
      <x:c r="CE24" s="504">
        <x:v>1955000</x:v>
      </x:c>
      <x:c r="CF24" s="504">
        <x:v>2320000</x:v>
      </x:c>
      <x:c r="CG24" s="504">
        <x:v>194383000</x:v>
      </x:c>
      <x:c r="CH24" s="504">
        <x:v>110602200</x:v>
      </x:c>
      <x:c r="CI24" s="499"/>
      <x:c r="CJ24" s="504">
        <x:v>784000</x:v>
      </x:c>
      <x:c r="CK24" s="504">
        <x:v>29106000</x:v>
      </x:c>
      <x:c r="CL24" s="504">
        <x:v>32634000</x:v>
      </x:c>
      <x:c r="CM24" s="504">
        <x:v>14000</x:v>
      </x:c>
      <x:c r="CN24" s="499"/>
      <x:c r="CO24" s="499"/>
      <x:c r="CP24" s="504">
        <x:v>300000</x:v>
      </x:c>
      <x:c r="CQ24" s="504">
        <x:v>6360200</x:v>
      </x:c>
      <x:c r="CR24" s="504">
        <x:v>0</x:v>
      </x:c>
      <x:c r="CS24" s="504">
        <x:v>330000</x:v>
      </x:c>
      <x:c r="CT24" s="504">
        <x:v>25894000</x:v>
      </x:c>
      <x:c r="CU24" s="504">
        <x:v>15180000</x:v>
      </x:c>
      <x:c r="CV24" s="504">
        <x:v>83780800</x:v>
      </x:c>
      <x:c r="CW24" s="504">
        <x:v>224000</x:v>
      </x:c>
      <x:c r="CX24" s="504">
        <x:v>1435000</x:v>
      </x:c>
      <x:c r="CY24" s="504">
        <x:v>11844000</x:v>
      </x:c>
      <x:c r="CZ24" s="504">
        <x:v>25956000</x:v>
      </x:c>
      <x:c r="DA24" s="504">
        <x:v>14000</x:v>
      </x:c>
      <x:c r="DB24" s="499"/>
      <x:c r="DC24" s="499"/>
      <x:c r="DD24" s="504">
        <x:v>11811800</x:v>
      </x:c>
      <x:c r="DE24" s="504">
        <x:v>0</x:v>
      </x:c>
      <x:c r="DF24" s="504">
        <x:v>15246000</x:v>
      </x:c>
      <x:c r="DG24" s="504">
        <x:v>17250000</x:v>
      </x:c>
      <x:c r="DH24" s="504">
        <x:v>17933</x:v>
      </x:c>
      <x:c r="DI24" s="504">
        <x:v>445545500</x:v>
      </x:c>
      <x:c r="DJ24" s="499"/>
      <x:c r="DK24" s="499"/>
      <x:c r="DL24" s="499"/>
      <x:c r="DM24" s="499"/>
      <x:c r="DN24" s="499"/>
      <x:c r="DO24" s="499"/>
      <x:c r="DP24" s="499"/>
      <x:c r="DQ24" s="499"/>
      <x:c r="DR24" s="499"/>
      <x:c r="DS24" s="499"/>
      <x:c r="DT24" s="499"/>
      <x:c r="DU24" s="499"/>
      <x:c r="DV24" s="499"/>
      <x:c r="DW24" s="499"/>
      <x:c r="DX24" s="499"/>
      <x:c r="DY24" s="499"/>
      <x:c r="DZ24" s="499"/>
      <x:c r="EA24" s="499"/>
      <x:c r="EB24" s="499"/>
      <x:c r="EC24" s="499"/>
      <x:c r="ED24" s="499"/>
      <x:c r="EE24" s="499"/>
      <x:c r="EF24" s="499"/>
      <x:c r="EG24" s="499"/>
      <x:c r="EH24" s="499"/>
      <x:c r="EI24" s="499"/>
      <x:c r="EJ24" s="499"/>
      <x:c r="EK24" s="499"/>
      <x:c r="EL24" s="499"/>
      <x:c r="EM24" s="499"/>
      <x:c r="EN24" s="499"/>
      <x:c r="EO24" s="499"/>
      <x:c r="EP24" s="499"/>
      <x:c r="EQ24" s="499"/>
      <x:c r="ER24" s="499"/>
      <x:c r="ES24" s="499"/>
      <x:c r="ET24" s="499"/>
      <x:c r="EU24" s="499"/>
    </x:row>
    <x:row r="25" ht="22" customHeight="1">
      <x:c r="A25" s="500" t="s">
        <x:v>171</x:v>
      </x:c>
      <x:c r="B25" s="502">
        <x:v>4805</x:v>
      </x:c>
      <x:c r="C25" s="506">
        <x:v>4041</x:v>
      </x:c>
      <x:c r="D25" s="502">
        <x:v>2891</x:v>
      </x:c>
      <x:c r="E25" s="502">
        <x:v>40</x:v>
      </x:c>
      <x:c r="F25" s="502">
        <x:v>335</x:v>
      </x:c>
      <x:c r="G25" s="502">
        <x:v>138</x:v>
      </x:c>
      <x:c r="H25" s="502">
        <x:v>24</x:v>
      </x:c>
      <x:c r="I25" s="502">
        <x:v>200</x:v>
      </x:c>
      <x:c r="J25" s="506"/>
      <x:c r="K25" s="506"/>
      <x:c r="L25" s="502">
        <x:v>100</x:v>
      </x:c>
      <x:c r="M25" s="502">
        <x:v>2040</x:v>
      </x:c>
      <x:c r="N25" s="502">
        <x:v>0</x:v>
      </x:c>
      <x:c r="O25" s="495"/>
      <x:c r="P25" s="502">
        <x:v>14</x:v>
      </x:c>
      <x:c r="Q25" s="502">
        <x:v>1150</x:v>
      </x:c>
      <x:c r="R25" s="502">
        <x:v>10</x:v>
      </x:c>
      <x:c r="S25" s="502">
        <x:v>54</x:v>
      </x:c>
      <x:c r="T25" s="502">
        <x:v>12</x:v>
      </x:c>
      <x:c r="U25" s="502">
        <x:v>18</x:v>
      </x:c>
      <x:c r="V25" s="495"/>
      <x:c r="W25" s="495"/>
      <x:c r="X25" s="502">
        <x:v>15</x:v>
      </x:c>
      <x:c r="Y25" s="502">
        <x:v>1033</x:v>
      </x:c>
      <x:c r="Z25" s="502">
        <x:v>0</x:v>
      </x:c>
      <x:c r="AA25" s="495"/>
      <x:c r="AB25" s="495"/>
      <x:c r="AC25" s="502">
        <x:v>8</x:v>
      </x:c>
      <x:c r="AD25" s="502">
        <x:v>764</x:v>
      </x:c>
      <x:c r="AE25" s="502">
        <x:v>537</x:v>
      </x:c>
      <x:c r="AF25" s="495"/>
      <x:c r="AG25" s="502">
        <x:v>5</x:v>
      </x:c>
      <x:c r="AH25" s="502">
        <x:v>57</x:v>
      </x:c>
      <x:c r="AI25" s="502">
        <x:v>87</x:v>
      </x:c>
      <x:c r="AJ25" s="495"/>
      <x:c r="AK25" s="495"/>
      <x:c r="AL25" s="495"/>
      <x:c r="AM25" s="495"/>
      <x:c r="AN25" s="502">
        <x:v>237</x:v>
      </x:c>
      <x:c r="AO25" s="502">
        <x:v>0</x:v>
      </x:c>
      <x:c r="AP25" s="495"/>
      <x:c r="AQ25" s="502">
        <x:v>91</x:v>
      </x:c>
      <x:c r="AR25" s="502">
        <x:v>60</x:v>
      </x:c>
      <x:c r="AS25" s="502">
        <x:v>227</x:v>
      </x:c>
      <x:c r="AT25" s="495"/>
      <x:c r="AU25" s="502">
        <x:v>2</x:v>
      </x:c>
      <x:c r="AV25" s="502">
        <x:v>17</x:v>
      </x:c>
      <x:c r="AW25" s="502">
        <x:v>29</x:v>
      </x:c>
      <x:c r="AX25" s="495"/>
      <x:c r="AY25" s="495"/>
      <x:c r="AZ25" s="495"/>
      <x:c r="BA25" s="502">
        <x:v>161</x:v>
      </x:c>
      <x:c r="BB25" s="502">
        <x:v>0</x:v>
      </x:c>
      <x:c r="BC25" s="502">
        <x:v>14</x:v>
      </x:c>
      <x:c r="BD25" s="502">
        <x:v>4</x:v>
      </x:c>
      <x:c r="BE25" s="502">
        <x:v>120327200</x:v>
      </x:c>
      <x:c r="BF25" s="502">
        <x:v>68812000</x:v>
      </x:c>
      <x:c r="BG25" s="502">
        <x:v>49118200</x:v>
      </x:c>
      <x:c r="BH25" s="502">
        <x:v>600000</x:v>
      </x:c>
      <x:c r="BI25" s="502">
        <x:v>6600000</x:v>
      </x:c>
      <x:c r="BJ25" s="502">
        <x:v>4416000</x:v>
      </x:c>
      <x:c r="BK25" s="502">
        <x:v>2184000</x:v>
      </x:c>
      <x:c r="BL25" s="502">
        <x:v>270000</x:v>
      </x:c>
      <x:c r="BM25" s="495"/>
      <x:c r="BN25" s="495"/>
      <x:c r="BO25" s="502">
        <x:v>3000000</x:v>
      </x:c>
      <x:c r="BP25" s="502">
        <x:v>30424200</x:v>
      </x:c>
      <x:c r="BQ25" s="502">
        <x:v>0</x:v>
      </x:c>
      <x:c r="BR25" s="495"/>
      <x:c r="BS25" s="502">
        <x:v>1624000</x:v>
      </x:c>
      <x:c r="BT25" s="502">
        <x:v>19693800</x:v>
      </x:c>
      <x:c r="BU25" s="502">
        <x:v>150000</x:v>
      </x:c>
      <x:c r="BV25" s="502">
        <x:v>814000</x:v>
      </x:c>
      <x:c r="BW25" s="502">
        <x:v>384000</x:v>
      </x:c>
      <x:c r="BX25" s="502">
        <x:v>1638000</x:v>
      </x:c>
      <x:c r="BY25" s="495"/>
      <x:c r="BZ25" s="495"/>
      <x:c r="CA25" s="502">
        <x:v>450000</x:v>
      </x:c>
      <x:c r="CB25" s="502">
        <x:v>15329800</x:v>
      </x:c>
      <x:c r="CC25" s="502">
        <x:v>0</x:v>
      </x:c>
      <x:c r="CD25" s="495"/>
      <x:c r="CE25" s="495"/>
      <x:c r="CF25" s="502">
        <x:v>928000</x:v>
      </x:c>
      <x:c r="CG25" s="502">
        <x:v>51515200</x:v>
      </x:c>
      <x:c r="CH25" s="502">
        <x:v>40693800</x:v>
      </x:c>
      <x:c r="CI25" s="495"/>
      <x:c r="CJ25" s="502">
        <x:v>989000</x:v>
      </x:c>
      <x:c r="CK25" s="502">
        <x:v>7182000</x:v>
      </x:c>
      <x:c r="CL25" s="502">
        <x:v>10962000</x:v>
      </x:c>
      <x:c r="CM25" s="495"/>
      <x:c r="CN25" s="495"/>
      <x:c r="CO25" s="495"/>
      <x:c r="CP25" s="495"/>
      <x:c r="CQ25" s="502">
        <x:v>3649800</x:v>
      </x:c>
      <x:c r="CR25" s="502">
        <x:v>0</x:v>
      </x:c>
      <x:c r="CS25" s="495"/>
      <x:c r="CT25" s="502">
        <x:v>11011000</x:v>
      </x:c>
      <x:c r="CU25" s="502">
        <x:v>6900000</x:v>
      </x:c>
      <x:c r="CV25" s="502">
        <x:v>10821400</x:v>
      </x:c>
      <x:c r="CW25" s="495"/>
      <x:c r="CX25" s="502">
        <x:v>392000</x:v>
      </x:c>
      <x:c r="CY25" s="502">
        <x:v>2142000</x:v>
      </x:c>
      <x:c r="CZ25" s="502">
        <x:v>3654000</x:v>
      </x:c>
      <x:c r="DA25" s="495"/>
      <x:c r="DB25" s="495"/>
      <x:c r="DC25" s="495"/>
      <x:c r="DD25" s="502">
        <x:v>2479400</x:v>
      </x:c>
      <x:c r="DE25" s="502">
        <x:v>0</x:v>
      </x:c>
      <x:c r="DF25" s="502">
        <x:v>1694000</x:v>
      </x:c>
      <x:c r="DG25" s="502">
        <x:v>460000</x:v>
      </x:c>
      <x:c r="DH25" s="502">
        <x:v>4805</x:v>
      </x:c>
      <x:c r="DI25" s="502">
        <x:v>120327200</x:v>
      </x:c>
      <x:c r="DJ25" s="495"/>
      <x:c r="DK25" s="495"/>
      <x:c r="DL25" s="495"/>
      <x:c r="DM25" s="495"/>
      <x:c r="DN25" s="495"/>
      <x:c r="DO25" s="495"/>
      <x:c r="DP25" s="495"/>
      <x:c r="DQ25" s="495"/>
      <x:c r="DR25" s="495"/>
      <x:c r="DS25" s="495"/>
      <x:c r="DT25" s="495"/>
      <x:c r="DU25" s="495"/>
      <x:c r="DV25" s="495"/>
      <x:c r="DW25" s="495"/>
      <x:c r="DX25" s="495"/>
      <x:c r="DY25" s="495"/>
      <x:c r="DZ25" s="495"/>
      <x:c r="EA25" s="495"/>
      <x:c r="EB25" s="495"/>
      <x:c r="EC25" s="495"/>
      <x:c r="ED25" s="495"/>
      <x:c r="EE25" s="495"/>
      <x:c r="EF25" s="495"/>
      <x:c r="EG25" s="495"/>
      <x:c r="EH25" s="495"/>
      <x:c r="EI25" s="495"/>
      <x:c r="EJ25" s="495"/>
      <x:c r="EK25" s="495"/>
      <x:c r="EL25" s="495"/>
      <x:c r="EM25" s="495"/>
      <x:c r="EN25" s="495"/>
      <x:c r="EO25" s="495"/>
      <x:c r="EP25" s="495"/>
      <x:c r="EQ25" s="495"/>
      <x:c r="ER25" s="495"/>
      <x:c r="ES25" s="495"/>
      <x:c r="ET25" s="495"/>
      <x:c r="EU25" s="495"/>
    </x:row>
    <x:row r="26" ht="22" customHeight="1">
      <x:c r="A26" s="503" t="s">
        <x:v>172</x:v>
      </x:c>
      <x:c r="B26" s="504">
        <x:v>1047</x:v>
      </x:c>
      <x:c r="C26" s="505">
        <x:v>862</x:v>
      </x:c>
      <x:c r="D26" s="504">
        <x:v>541</x:v>
      </x:c>
      <x:c r="E26" s="505"/>
      <x:c r="F26" s="504">
        <x:v>70</x:v>
      </x:c>
      <x:c r="G26" s="504">
        <x:v>40</x:v>
      </x:c>
      <x:c r="H26" s="504">
        <x:v>2</x:v>
      </x:c>
      <x:c r="I26" s="499"/>
      <x:c r="J26" s="505"/>
      <x:c r="K26" s="505"/>
      <x:c r="L26" s="504">
        <x:v>35</x:v>
      </x:c>
      <x:c r="M26" s="504">
        <x:v>390</x:v>
      </x:c>
      <x:c r="N26" s="499"/>
      <x:c r="O26" s="505">
        <x:v>2</x:v>
      </x:c>
      <x:c r="P26" s="504">
        <x:v>2</x:v>
      </x:c>
      <x:c r="Q26" s="504">
        <x:v>321</x:v>
      </x:c>
      <x:c r="R26" s="505"/>
      <x:c r="S26" s="504">
        <x:v>15</x:v>
      </x:c>
      <x:c r="T26" s="504">
        <x:v>10</x:v>
      </x:c>
      <x:c r="U26" s="504">
        <x:v>14</x:v>
      </x:c>
      <x:c r="V26" s="499"/>
      <x:c r="W26" s="499"/>
      <x:c r="X26" s="504">
        <x:v>20</x:v>
      </x:c>
      <x:c r="Y26" s="504">
        <x:v>260</x:v>
      </x:c>
      <x:c r="Z26" s="499"/>
      <x:c r="AA26" s="499"/>
      <x:c r="AB26" s="504">
        <x:v>2</x:v>
      </x:c>
      <x:c r="AC26" s="499"/>
      <x:c r="AD26" s="504">
        <x:v>185</x:v>
      </x:c>
      <x:c r="AE26" s="504">
        <x:v>160</x:v>
      </x:c>
      <x:c r="AF26" s="499"/>
      <x:c r="AG26" s="504">
        <x:v>8</x:v>
      </x:c>
      <x:c r="AH26" s="504">
        <x:v>4</x:v>
      </x:c>
      <x:c r="AI26" s="504">
        <x:v>8</x:v>
      </x:c>
      <x:c r="AJ26" s="499"/>
      <x:c r="AK26" s="499"/>
      <x:c r="AL26" s="499"/>
      <x:c r="AM26" s="499"/>
      <x:c r="AN26" s="504">
        <x:v>70</x:v>
      </x:c>
      <x:c r="AO26" s="499"/>
      <x:c r="AP26" s="499"/>
      <x:c r="AQ26" s="504">
        <x:v>22</x:v>
      </x:c>
      <x:c r="AR26" s="504">
        <x:v>48</x:v>
      </x:c>
      <x:c r="AS26" s="504">
        <x:v>25</x:v>
      </x:c>
      <x:c r="AT26" s="499"/>
      <x:c r="AU26" s="504">
        <x:v>1</x:v>
      </x:c>
      <x:c r="AV26" s="499"/>
      <x:c r="AW26" s="504">
        <x:v>4</x:v>
      </x:c>
      <x:c r="AX26" s="499"/>
      <x:c r="AY26" s="499"/>
      <x:c r="AZ26" s="499"/>
      <x:c r="BA26" s="499"/>
      <x:c r="BB26" s="499"/>
      <x:c r="BC26" s="504">
        <x:v>10</x:v>
      </x:c>
      <x:c r="BD26" s="504">
        <x:v>10</x:v>
      </x:c>
      <x:c r="BE26" s="504">
        <x:v>32189700</x:v>
      </x:c>
      <x:c r="BF26" s="504">
        <x:v>16726700</x:v>
      </x:c>
      <x:c r="BG26" s="504">
        <x:v>10283700</x:v>
      </x:c>
      <x:c r="BH26" s="499"/>
      <x:c r="BI26" s="504">
        <x:v>1512500</x:v>
      </x:c>
      <x:c r="BJ26" s="504">
        <x:v>1280000</x:v>
      </x:c>
      <x:c r="BK26" s="504">
        <x:v>182000</x:v>
      </x:c>
      <x:c r="BL26" s="499"/>
      <x:c r="BM26" s="499"/>
      <x:c r="BN26" s="499"/>
      <x:c r="BO26" s="504">
        <x:v>1050000</x:v>
      </x:c>
      <x:c r="BP26" s="504">
        <x:v>5797200</x:v>
      </x:c>
      <x:c r="BQ26" s="499"/>
      <x:c r="BR26" s="504">
        <x:v>230000</x:v>
      </x:c>
      <x:c r="BS26" s="504">
        <x:v>232000</x:v>
      </x:c>
      <x:c r="BT26" s="504">
        <x:v>6443000</x:v>
      </x:c>
      <x:c r="BU26" s="499"/>
      <x:c r="BV26" s="504">
        <x:v>165000</x:v>
      </x:c>
      <x:c r="BW26" s="504">
        <x:v>320000</x:v>
      </x:c>
      <x:c r="BX26" s="504">
        <x:v>1274000</x:v>
      </x:c>
      <x:c r="BY26" s="499"/>
      <x:c r="BZ26" s="499"/>
      <x:c r="CA26" s="504">
        <x:v>600000</x:v>
      </x:c>
      <x:c r="CB26" s="504">
        <x:v>3854000</x:v>
      </x:c>
      <x:c r="CC26" s="499"/>
      <x:c r="CD26" s="499"/>
      <x:c r="CE26" s="504">
        <x:v>230000</x:v>
      </x:c>
      <x:c r="CF26" s="499"/>
      <x:c r="CG26" s="504">
        <x:v>15463000</x:v>
      </x:c>
      <x:c r="CH26" s="504">
        <x:v>12412000</x:v>
      </x:c>
      <x:c r="CI26" s="499"/>
      <x:c r="CJ26" s="504">
        <x:v>1640000</x:v>
      </x:c>
      <x:c r="CK26" s="504">
        <x:v>504000</x:v>
      </x:c>
      <x:c r="CL26" s="504">
        <x:v>1008000</x:v>
      </x:c>
      <x:c r="CM26" s="499"/>
      <x:c r="CN26" s="499"/>
      <x:c r="CO26" s="499"/>
      <x:c r="CP26" s="499"/>
      <x:c r="CQ26" s="504">
        <x:v>1078000</x:v>
      </x:c>
      <x:c r="CR26" s="499"/>
      <x:c r="CS26" s="499"/>
      <x:c r="CT26" s="504">
        <x:v>2662000</x:v>
      </x:c>
      <x:c r="CU26" s="504">
        <x:v>5520000</x:v>
      </x:c>
      <x:c r="CV26" s="504">
        <x:v>3051000</x:v>
      </x:c>
      <x:c r="CW26" s="499"/>
      <x:c r="CX26" s="504">
        <x:v>187000</x:v>
      </x:c>
      <x:c r="CY26" s="499"/>
      <x:c r="CZ26" s="504">
        <x:v>504000</x:v>
      </x:c>
      <x:c r="DA26" s="499"/>
      <x:c r="DB26" s="499"/>
      <x:c r="DC26" s="499"/>
      <x:c r="DD26" s="499"/>
      <x:c r="DE26" s="499"/>
      <x:c r="DF26" s="504">
        <x:v>1210000</x:v>
      </x:c>
      <x:c r="DG26" s="504">
        <x:v>1150000</x:v>
      </x:c>
      <x:c r="DH26" s="504">
        <x:v>1047</x:v>
      </x:c>
      <x:c r="DI26" s="504">
        <x:v>32189700</x:v>
      </x:c>
      <x:c r="DJ26" s="499"/>
      <x:c r="DK26" s="499"/>
      <x:c r="DL26" s="499"/>
      <x:c r="DM26" s="499"/>
      <x:c r="DN26" s="499"/>
      <x:c r="DO26" s="499"/>
      <x:c r="DP26" s="499"/>
      <x:c r="DQ26" s="499"/>
      <x:c r="DR26" s="499"/>
      <x:c r="DS26" s="499"/>
      <x:c r="DT26" s="499"/>
      <x:c r="DU26" s="499"/>
      <x:c r="DV26" s="499"/>
      <x:c r="DW26" s="499"/>
      <x:c r="DX26" s="499"/>
      <x:c r="DY26" s="499"/>
      <x:c r="DZ26" s="499"/>
      <x:c r="EA26" s="499"/>
      <x:c r="EB26" s="499"/>
      <x:c r="EC26" s="499"/>
      <x:c r="ED26" s="499"/>
      <x:c r="EE26" s="499"/>
      <x:c r="EF26" s="499"/>
      <x:c r="EG26" s="499"/>
      <x:c r="EH26" s="499"/>
      <x:c r="EI26" s="499"/>
      <x:c r="EJ26" s="499"/>
      <x:c r="EK26" s="499"/>
      <x:c r="EL26" s="499"/>
      <x:c r="EM26" s="499"/>
      <x:c r="EN26" s="499"/>
      <x:c r="EO26" s="499"/>
      <x:c r="EP26" s="499"/>
      <x:c r="EQ26" s="499"/>
      <x:c r="ER26" s="499"/>
      <x:c r="ES26" s="499"/>
      <x:c r="ET26" s="499"/>
      <x:c r="EU26" s="499"/>
    </x:row>
    <x:row r="27" ht="22" customHeight="1">
      <x:c r="A27" s="500" t="s">
        <x:v>173</x:v>
      </x:c>
      <x:c r="B27" s="502">
        <x:v>8381</x:v>
      </x:c>
      <x:c r="C27" s="502">
        <x:v>6731</x:v>
      </x:c>
      <x:c r="D27" s="502">
        <x:v>4761</x:v>
      </x:c>
      <x:c r="E27" s="502">
        <x:v>30</x:v>
      </x:c>
      <x:c r="F27" s="506">
        <x:v>110</x:v>
      </x:c>
      <x:c r="G27" s="502">
        <x:v>80</x:v>
      </x:c>
      <x:c r="H27" s="502">
        <x:v>48</x:v>
      </x:c>
      <x:c r="I27" s="495"/>
      <x:c r="J27" s="506"/>
      <x:c r="K27" s="495"/>
      <x:c r="L27" s="506">
        <x:v>65</x:v>
      </x:c>
      <x:c r="M27" s="506">
        <x:v>4382</x:v>
      </x:c>
      <x:c r="N27" s="502">
        <x:v>0</x:v>
      </x:c>
      <x:c r="O27" s="506">
        <x:v>28</x:v>
      </x:c>
      <x:c r="P27" s="502">
        <x:v>18</x:v>
      </x:c>
      <x:c r="Q27" s="506">
        <x:v>1970</x:v>
      </x:c>
      <x:c r="R27" s="506"/>
      <x:c r="S27" s="506">
        <x:v>50</x:v>
      </x:c>
      <x:c r="T27" s="495"/>
      <x:c r="U27" s="502">
        <x:v>3</x:v>
      </x:c>
      <x:c r="V27" s="495"/>
      <x:c r="W27" s="495"/>
      <x:c r="X27" s="495"/>
      <x:c r="Y27" s="502">
        <x:v>1915</x:v>
      </x:c>
      <x:c r="Z27" s="502">
        <x:v>0</x:v>
      </x:c>
      <x:c r="AA27" s="495"/>
      <x:c r="AB27" s="495"/>
      <x:c r="AC27" s="502">
        <x:v>2</x:v>
      </x:c>
      <x:c r="AD27" s="502">
        <x:v>1650</x:v>
      </x:c>
      <x:c r="AE27" s="502">
        <x:v>1621</x:v>
      </x:c>
      <x:c r="AF27" s="495"/>
      <x:c r="AG27" s="502">
        <x:v>18</x:v>
      </x:c>
      <x:c r="AH27" s="502">
        <x:v>46</x:v>
      </x:c>
      <x:c r="AI27" s="502">
        <x:v>106</x:v>
      </x:c>
      <x:c r="AJ27" s="502">
        <x:v>60</x:v>
      </x:c>
      <x:c r="AK27" s="495"/>
      <x:c r="AL27" s="495"/>
      <x:c r="AM27" s="502">
        <x:v>35</x:v>
      </x:c>
      <x:c r="AN27" s="502">
        <x:v>994</x:v>
      </x:c>
      <x:c r="AO27" s="502">
        <x:v>0</x:v>
      </x:c>
      <x:c r="AP27" s="495"/>
      <x:c r="AQ27" s="502">
        <x:v>244</x:v>
      </x:c>
      <x:c r="AR27" s="502">
        <x:v>118</x:v>
      </x:c>
      <x:c r="AS27" s="502">
        <x:v>29</x:v>
      </x:c>
      <x:c r="AT27" s="495"/>
      <x:c r="AU27" s="502">
        <x:v>4</x:v>
      </x:c>
      <x:c r="AV27" s="495"/>
      <x:c r="AW27" s="502">
        <x:v>4</x:v>
      </x:c>
      <x:c r="AX27" s="495"/>
      <x:c r="AY27" s="495"/>
      <x:c r="AZ27" s="495"/>
      <x:c r="BA27" s="502">
        <x:v>7</x:v>
      </x:c>
      <x:c r="BB27" s="495"/>
      <x:c r="BC27" s="502">
        <x:v>10</x:v>
      </x:c>
      <x:c r="BD27" s="502">
        <x:v>4</x:v>
      </x:c>
      <x:c r="BE27" s="502">
        <x:v>196506800</x:v>
      </x:c>
      <x:c r="BF27" s="502">
        <x:v>111156400</x:v>
      </x:c>
      <x:c r="BG27" s="502">
        <x:v>81312100</x:v>
      </x:c>
      <x:c r="BH27" s="502">
        <x:v>450000</x:v>
      </x:c>
      <x:c r="BI27" s="502">
        <x:v>1699500</x:v>
      </x:c>
      <x:c r="BJ27" s="502">
        <x:v>2560000</x:v>
      </x:c>
      <x:c r="BK27" s="502">
        <x:v>4368000</x:v>
      </x:c>
      <x:c r="BL27" s="495"/>
      <x:c r="BM27" s="495"/>
      <x:c r="BN27" s="495"/>
      <x:c r="BO27" s="502">
        <x:v>1950000</x:v>
      </x:c>
      <x:c r="BP27" s="502">
        <x:v>64976600</x:v>
      </x:c>
      <x:c r="BQ27" s="502">
        <x:v>0</x:v>
      </x:c>
      <x:c r="BR27" s="502">
        <x:v>3220000</x:v>
      </x:c>
      <x:c r="BS27" s="502">
        <x:v>2088000</x:v>
      </x:c>
      <x:c r="BT27" s="502">
        <x:v>29844300</x:v>
      </x:c>
      <x:c r="BU27" s="495"/>
      <x:c r="BV27" s="502">
        <x:v>962500</x:v>
      </x:c>
      <x:c r="BW27" s="495"/>
      <x:c r="BX27" s="502">
        <x:v>273000</x:v>
      </x:c>
      <x:c r="BY27" s="495"/>
      <x:c r="BZ27" s="495"/>
      <x:c r="CA27" s="495"/>
      <x:c r="CB27" s="502">
        <x:v>28376800</x:v>
      </x:c>
      <x:c r="CC27" s="502">
        <x:v>0</x:v>
      </x:c>
      <x:c r="CD27" s="495"/>
      <x:c r="CE27" s="495"/>
      <x:c r="CF27" s="502">
        <x:v>232000</x:v>
      </x:c>
      <x:c r="CG27" s="502">
        <x:v>85350400</x:v>
      </x:c>
      <x:c r="CH27" s="502">
        <x:v>82248600</x:v>
      </x:c>
      <x:c r="CI27" s="495"/>
      <x:c r="CJ27" s="502">
        <x:v>3564000</x:v>
      </x:c>
      <x:c r="CK27" s="502">
        <x:v>5796000</x:v>
      </x:c>
      <x:c r="CL27" s="502">
        <x:v>13356000</x:v>
      </x:c>
      <x:c r="CM27" s="502">
        <x:v>81000</x:v>
      </x:c>
      <x:c r="CN27" s="495"/>
      <x:c r="CO27" s="495"/>
      <x:c r="CP27" s="502">
        <x:v>1050000</x:v>
      </x:c>
      <x:c r="CQ27" s="502">
        <x:v>15307600</x:v>
      </x:c>
      <x:c r="CR27" s="502">
        <x:v>0</x:v>
      </x:c>
      <x:c r="CS27" s="495"/>
      <x:c r="CT27" s="502">
        <x:v>29524000</x:v>
      </x:c>
      <x:c r="CU27" s="502">
        <x:v>13570000</x:v>
      </x:c>
      <x:c r="CV27" s="502">
        <x:v>3101800</x:v>
      </x:c>
      <x:c r="CW27" s="495"/>
      <x:c r="CX27" s="502">
        <x:v>820000</x:v>
      </x:c>
      <x:c r="CY27" s="495"/>
      <x:c r="CZ27" s="502">
        <x:v>504000</x:v>
      </x:c>
      <x:c r="DA27" s="495"/>
      <x:c r="DB27" s="495"/>
      <x:c r="DC27" s="495"/>
      <x:c r="DD27" s="502">
        <x:v>107800</x:v>
      </x:c>
      <x:c r="DE27" s="495"/>
      <x:c r="DF27" s="502">
        <x:v>1210000</x:v>
      </x:c>
      <x:c r="DG27" s="502">
        <x:v>460000</x:v>
      </x:c>
      <x:c r="DH27" s="502">
        <x:v>8381</x:v>
      </x:c>
      <x:c r="DI27" s="502">
        <x:v>196506800</x:v>
      </x:c>
      <x:c r="DJ27" s="495"/>
      <x:c r="DK27" s="495"/>
      <x:c r="DL27" s="495"/>
      <x:c r="DM27" s="495"/>
      <x:c r="DN27" s="495"/>
      <x:c r="DO27" s="495"/>
      <x:c r="DP27" s="495"/>
      <x:c r="DQ27" s="495"/>
      <x:c r="DR27" s="495"/>
      <x:c r="DS27" s="495"/>
      <x:c r="DT27" s="495"/>
      <x:c r="DU27" s="495"/>
      <x:c r="DV27" s="495"/>
      <x:c r="DW27" s="495"/>
      <x:c r="DX27" s="495"/>
      <x:c r="DY27" s="495"/>
      <x:c r="DZ27" s="495"/>
      <x:c r="EA27" s="495"/>
      <x:c r="EB27" s="495"/>
      <x:c r="EC27" s="495"/>
      <x:c r="ED27" s="495"/>
      <x:c r="EE27" s="495"/>
      <x:c r="EF27" s="495"/>
      <x:c r="EG27" s="495"/>
      <x:c r="EH27" s="495"/>
      <x:c r="EI27" s="495"/>
      <x:c r="EJ27" s="495"/>
      <x:c r="EK27" s="495"/>
      <x:c r="EL27" s="495"/>
      <x:c r="EM27" s="495"/>
      <x:c r="EN27" s="495"/>
      <x:c r="EO27" s="495"/>
      <x:c r="EP27" s="495"/>
      <x:c r="EQ27" s="495"/>
      <x:c r="ER27" s="495"/>
      <x:c r="ES27" s="495"/>
      <x:c r="ET27" s="495"/>
      <x:c r="EU27" s="495"/>
    </x:row>
    <x:row r="28" ht="22" customHeight="1">
      <x:c r="A28" s="503" t="s">
        <x:v>174</x:v>
      </x:c>
      <x:c r="B28" s="504">
        <x:v>10798</x:v>
      </x:c>
      <x:c r="C28" s="505">
        <x:v>8312</x:v>
      </x:c>
      <x:c r="D28" s="504">
        <x:v>6136</x:v>
      </x:c>
      <x:c r="E28" s="505">
        <x:v>31</x:v>
      </x:c>
      <x:c r="F28" s="504">
        <x:v>415</x:v>
      </x:c>
      <x:c r="G28" s="504">
        <x:v>83</x:v>
      </x:c>
      <x:c r="H28" s="504">
        <x:v>62</x:v>
      </x:c>
      <x:c r="I28" s="505"/>
      <x:c r="J28" s="505"/>
      <x:c r="K28" s="505">
        <x:v>1</x:v>
      </x:c>
      <x:c r="L28" s="505">
        <x:v>80</x:v>
      </x:c>
      <x:c r="M28" s="504">
        <x:v>5318</x:v>
      </x:c>
      <x:c r="N28" s="499"/>
      <x:c r="O28" s="504">
        <x:v>34</x:v>
      </x:c>
      <x:c r="P28" s="504">
        <x:v>112</x:v>
      </x:c>
      <x:c r="Q28" s="504">
        <x:v>2176</x:v>
      </x:c>
      <x:c r="R28" s="504">
        <x:v>30</x:v>
      </x:c>
      <x:c r="S28" s="504">
        <x:v>122</x:v>
      </x:c>
      <x:c r="T28" s="504">
        <x:v>30</x:v>
      </x:c>
      <x:c r="U28" s="504">
        <x:v>47</x:v>
      </x:c>
      <x:c r="V28" s="504">
        <x:v>10</x:v>
      </x:c>
      <x:c r="W28" s="499"/>
      <x:c r="X28" s="504">
        <x:v>25</x:v>
      </x:c>
      <x:c r="Y28" s="504">
        <x:v>1874</x:v>
      </x:c>
      <x:c r="Z28" s="499"/>
      <x:c r="AA28" s="504">
        <x:v>2</x:v>
      </x:c>
      <x:c r="AB28" s="504">
        <x:v>10</x:v>
      </x:c>
      <x:c r="AC28" s="504">
        <x:v>26</x:v>
      </x:c>
      <x:c r="AD28" s="504">
        <x:v>2486</x:v>
      </x:c>
      <x:c r="AE28" s="504">
        <x:v>1838</x:v>
      </x:c>
      <x:c r="AF28" s="499"/>
      <x:c r="AG28" s="504">
        <x:v>28</x:v>
      </x:c>
      <x:c r="AH28" s="504">
        <x:v>50</x:v>
      </x:c>
      <x:c r="AI28" s="504">
        <x:v>84</x:v>
      </x:c>
      <x:c r="AJ28" s="499"/>
      <x:c r="AK28" s="499"/>
      <x:c r="AL28" s="499"/>
      <x:c r="AM28" s="504">
        <x:v>45</x:v>
      </x:c>
      <x:c r="AN28" s="504">
        <x:v>533</x:v>
      </x:c>
      <x:c r="AO28" s="499"/>
      <x:c r="AP28" s="499"/>
      <x:c r="AQ28" s="504">
        <x:v>78</x:v>
      </x:c>
      <x:c r="AR28" s="504">
        <x:v>1020</x:v>
      </x:c>
      <x:c r="AS28" s="504">
        <x:v>648</x:v>
      </x:c>
      <x:c r="AT28" s="499"/>
      <x:c r="AU28" s="504">
        <x:v>7</x:v>
      </x:c>
      <x:c r="AV28" s="504">
        <x:v>30</x:v>
      </x:c>
      <x:c r="AW28" s="504">
        <x:v>112</x:v>
      </x:c>
      <x:c r="AX28" s="499"/>
      <x:c r="AY28" s="499"/>
      <x:c r="AZ28" s="504">
        <x:v>14</x:v>
      </x:c>
      <x:c r="BA28" s="504">
        <x:v>231</x:v>
      </x:c>
      <x:c r="BB28" s="499"/>
      <x:c r="BC28" s="504">
        <x:v>24</x:v>
      </x:c>
      <x:c r="BD28" s="504">
        <x:v>230</x:v>
      </x:c>
      <x:c r="BE28" s="504">
        <x:v>368733500</x:v>
      </x:c>
      <x:c r="BF28" s="504">
        <x:v>157424900</x:v>
      </x:c>
      <x:c r="BG28" s="504">
        <x:v>115975600</x:v>
      </x:c>
      <x:c r="BH28" s="504">
        <x:v>465000</x:v>
      </x:c>
      <x:c r="BI28" s="504">
        <x:v>7205000</x:v>
      </x:c>
      <x:c r="BJ28" s="504">
        <x:v>2656000</x:v>
      </x:c>
      <x:c r="BK28" s="504">
        <x:v>5642000</x:v>
      </x:c>
      <x:c r="BL28" s="499"/>
      <x:c r="BM28" s="499"/>
      <x:c r="BN28" s="504">
        <x:v>0</x:v>
      </x:c>
      <x:c r="BO28" s="504">
        <x:v>2400000</x:v>
      </x:c>
      <x:c r="BP28" s="504">
        <x:v>80705600</x:v>
      </x:c>
      <x:c r="BQ28" s="499"/>
      <x:c r="BR28" s="504">
        <x:v>3910000</x:v>
      </x:c>
      <x:c r="BS28" s="504">
        <x:v>12992000</x:v>
      </x:c>
      <x:c r="BT28" s="504">
        <x:v>41449300</x:v>
      </x:c>
      <x:c r="BU28" s="504">
        <x:v>450000</x:v>
      </x:c>
      <x:c r="BV28" s="504">
        <x:v>1967900</x:v>
      </x:c>
      <x:c r="BW28" s="504">
        <x:v>960000</x:v>
      </x:c>
      <x:c r="BX28" s="504">
        <x:v>4277000</x:v>
      </x:c>
      <x:c r="BY28" s="504">
        <x:v>14000</x:v>
      </x:c>
      <x:c r="BZ28" s="499"/>
      <x:c r="CA28" s="504">
        <x:v>750000</x:v>
      </x:c>
      <x:c r="CB28" s="504">
        <x:v>28534400</x:v>
      </x:c>
      <x:c r="CC28" s="499"/>
      <x:c r="CD28" s="504">
        <x:v>330000</x:v>
      </x:c>
      <x:c r="CE28" s="504">
        <x:v>1150000</x:v>
      </x:c>
      <x:c r="CF28" s="504">
        <x:v>3016000</x:v>
      </x:c>
      <x:c r="CG28" s="504">
        <x:v>211308600</x:v>
      </x:c>
      <x:c r="CH28" s="504">
        <x:v>158704200</x:v>
      </x:c>
      <x:c r="CI28" s="499"/>
      <x:c r="CJ28" s="504">
        <x:v>5524000</x:v>
      </x:c>
      <x:c r="CK28" s="504">
        <x:v>6300000</x:v>
      </x:c>
      <x:c r="CL28" s="504">
        <x:v>10584000</x:v>
      </x:c>
      <x:c r="CM28" s="499"/>
      <x:c r="CN28" s="499"/>
      <x:c r="CO28" s="499"/>
      <x:c r="CP28" s="504">
        <x:v>1350000</x:v>
      </x:c>
      <x:c r="CQ28" s="504">
        <x:v>8208200</x:v>
      </x:c>
      <x:c r="CR28" s="499"/>
      <x:c r="CS28" s="499"/>
      <x:c r="CT28" s="504">
        <x:v>9438000</x:v>
      </x:c>
      <x:c r="CU28" s="504">
        <x:v>117300000</x:v>
      </x:c>
      <x:c r="CV28" s="504">
        <x:v>52604400</x:v>
      </x:c>
      <x:c r="CW28" s="499"/>
      <x:c r="CX28" s="504">
        <x:v>1381000</x:v>
      </x:c>
      <x:c r="CY28" s="504">
        <x:v>3780000</x:v>
      </x:c>
      <x:c r="CZ28" s="504">
        <x:v>14112000</x:v>
      </x:c>
      <x:c r="DA28" s="499"/>
      <x:c r="DB28" s="499"/>
      <x:c r="DC28" s="504">
        <x:v>420000</x:v>
      </x:c>
      <x:c r="DD28" s="504">
        <x:v>3557400</x:v>
      </x:c>
      <x:c r="DE28" s="499"/>
      <x:c r="DF28" s="504">
        <x:v>2904000</x:v>
      </x:c>
      <x:c r="DG28" s="504">
        <x:v>26450000</x:v>
      </x:c>
      <x:c r="DH28" s="504">
        <x:v>10798</x:v>
      </x:c>
      <x:c r="DI28" s="504">
        <x:v>368733500</x:v>
      </x:c>
      <x:c r="DJ28" s="499"/>
      <x:c r="DK28" s="499"/>
      <x:c r="DL28" s="499"/>
      <x:c r="DM28" s="499"/>
      <x:c r="DN28" s="499"/>
      <x:c r="DO28" s="499"/>
      <x:c r="DP28" s="499"/>
      <x:c r="DQ28" s="499"/>
      <x:c r="DR28" s="499"/>
      <x:c r="DS28" s="499"/>
      <x:c r="DT28" s="499"/>
      <x:c r="DU28" s="499"/>
      <x:c r="DV28" s="499"/>
      <x:c r="DW28" s="499"/>
      <x:c r="DX28" s="499"/>
      <x:c r="DY28" s="499"/>
      <x:c r="DZ28" s="499"/>
      <x:c r="EA28" s="499"/>
      <x:c r="EB28" s="499"/>
      <x:c r="EC28" s="499"/>
      <x:c r="ED28" s="499"/>
      <x:c r="EE28" s="499"/>
      <x:c r="EF28" s="499"/>
      <x:c r="EG28" s="499"/>
      <x:c r="EH28" s="499"/>
      <x:c r="EI28" s="499"/>
      <x:c r="EJ28" s="499"/>
      <x:c r="EK28" s="499"/>
      <x:c r="EL28" s="499"/>
      <x:c r="EM28" s="499"/>
      <x:c r="EN28" s="499"/>
      <x:c r="EO28" s="499"/>
      <x:c r="EP28" s="499"/>
      <x:c r="EQ28" s="499"/>
      <x:c r="ER28" s="499"/>
      <x:c r="ES28" s="499"/>
      <x:c r="ET28" s="499"/>
      <x:c r="EU28" s="499"/>
    </x:row>
    <x:row r="29" ht="22" customHeight="1">
      <x:c r="A29" s="507" t="s">
        <x:v>175</x:v>
      </x:c>
      <x:c r="B29" s="502">
        <x:v>4863</x:v>
      </x:c>
      <x:c r="C29" s="502">
        <x:v>4603</x:v>
      </x:c>
      <x:c r="D29" s="502">
        <x:v>2336</x:v>
      </x:c>
      <x:c r="E29" s="502">
        <x:v>28</x:v>
      </x:c>
      <x:c r="F29" s="502">
        <x:v>289</x:v>
      </x:c>
      <x:c r="G29" s="502">
        <x:v>104</x:v>
      </x:c>
      <x:c r="H29" s="502">
        <x:v>51</x:v>
      </x:c>
      <x:c r="I29" s="502">
        <x:v>200</x:v>
      </x:c>
      <x:c r="J29" s="495"/>
      <x:c r="K29" s="495"/>
      <x:c r="L29" s="502">
        <x:v>95</x:v>
      </x:c>
      <x:c r="M29" s="502">
        <x:v>1501</x:v>
      </x:c>
      <x:c r="N29" s="502">
        <x:v>0</x:v>
      </x:c>
      <x:c r="O29" s="502">
        <x:v>8</x:v>
      </x:c>
      <x:c r="P29" s="502">
        <x:v>60</x:v>
      </x:c>
      <x:c r="Q29" s="502">
        <x:v>2267</x:v>
      </x:c>
      <x:c r="R29" s="502">
        <x:v>33</x:v>
      </x:c>
      <x:c r="S29" s="502">
        <x:v>157</x:v>
      </x:c>
      <x:c r="T29" s="502">
        <x:v>42</x:v>
      </x:c>
      <x:c r="U29" s="502">
        <x:v>11</x:v>
      </x:c>
      <x:c r="V29" s="502">
        <x:v>85</x:v>
      </x:c>
      <x:c r="W29" s="495"/>
      <x:c r="X29" s="502">
        <x:v>44</x:v>
      </x:c>
      <x:c r="Y29" s="502">
        <x:v>1875</x:v>
      </x:c>
      <x:c r="Z29" s="502">
        <x:v>0</x:v>
      </x:c>
      <x:c r="AA29" s="495"/>
      <x:c r="AB29" s="502">
        <x:v>2</x:v>
      </x:c>
      <x:c r="AC29" s="502">
        <x:v>18</x:v>
      </x:c>
      <x:c r="AD29" s="502">
        <x:v>260</x:v>
      </x:c>
      <x:c r="AE29" s="502">
        <x:v>230</x:v>
      </x:c>
      <x:c r="AF29" s="495"/>
      <x:c r="AG29" s="502">
        <x:v>8</x:v>
      </x:c>
      <x:c r="AH29" s="502">
        <x:v>15</x:v>
      </x:c>
      <x:c r="AI29" s="502">
        <x:v>153</x:v>
      </x:c>
      <x:c r="AJ29" s="495"/>
      <x:c r="AK29" s="495"/>
      <x:c r="AL29" s="495"/>
      <x:c r="AM29" s="495"/>
      <x:c r="AN29" s="502">
        <x:v>0</x:v>
      </x:c>
      <x:c r="AO29" s="502">
        <x:v>0</x:v>
      </x:c>
      <x:c r="AP29" s="495"/>
      <x:c r="AQ29" s="502">
        <x:v>6</x:v>
      </x:c>
      <x:c r="AR29" s="502">
        <x:v>48</x:v>
      </x:c>
      <x:c r="AS29" s="502">
        <x:v>30</x:v>
      </x:c>
      <x:c r="AT29" s="495"/>
      <x:c r="AU29" s="495"/>
      <x:c r="AV29" s="502">
        <x:v>3</x:v>
      </x:c>
      <x:c r="AW29" s="502">
        <x:v>7</x:v>
      </x:c>
      <x:c r="AX29" s="502">
        <x:v>20</x:v>
      </x:c>
      <x:c r="AY29" s="495"/>
      <x:c r="AZ29" s="495"/>
      <x:c r="BA29" s="495"/>
      <x:c r="BB29" s="502">
        <x:v>0</x:v>
      </x:c>
      <x:c r="BC29" s="495"/>
      <x:c r="BD29" s="495"/>
      <x:c r="BE29" s="502">
        <x:v>113636600</x:v>
      </x:c>
      <x:c r="BF29" s="502">
        <x:v>83367600</x:v>
      </x:c>
      <x:c r="BG29" s="502">
        <x:v>46718800</x:v>
      </x:c>
      <x:c r="BH29" s="502">
        <x:v>420000</x:v>
      </x:c>
      <x:c r="BI29" s="502">
        <x:v>5005000</x:v>
      </x:c>
      <x:c r="BJ29" s="502">
        <x:v>3328000</x:v>
      </x:c>
      <x:c r="BK29" s="502">
        <x:v>4641000</x:v>
      </x:c>
      <x:c r="BL29" s="502">
        <x:v>260000</x:v>
      </x:c>
      <x:c r="BM29" s="495"/>
      <x:c r="BN29" s="495"/>
      <x:c r="BO29" s="502">
        <x:v>2850000</x:v>
      </x:c>
      <x:c r="BP29" s="502">
        <x:v>22334800</x:v>
      </x:c>
      <x:c r="BQ29" s="502">
        <x:v>0</x:v>
      </x:c>
      <x:c r="BR29" s="502">
        <x:v>920000</x:v>
      </x:c>
      <x:c r="BS29" s="502">
        <x:v>6960000</x:v>
      </x:c>
      <x:c r="BT29" s="502">
        <x:v>36648800</x:v>
      </x:c>
      <x:c r="BU29" s="502">
        <x:v>495000</x:v>
      </x:c>
      <x:c r="BV29" s="502">
        <x:v>2156000</x:v>
      </x:c>
      <x:c r="BW29" s="502">
        <x:v>1344000</x:v>
      </x:c>
      <x:c r="BX29" s="502">
        <x:v>1001000</x:v>
      </x:c>
      <x:c r="BY29" s="502">
        <x:v>119000</x:v>
      </x:c>
      <x:c r="BZ29" s="495"/>
      <x:c r="CA29" s="502">
        <x:v>1320000</x:v>
      </x:c>
      <x:c r="CB29" s="502">
        <x:v>27895800</x:v>
      </x:c>
      <x:c r="CC29" s="502">
        <x:v>0</x:v>
      </x:c>
      <x:c r="CD29" s="495"/>
      <x:c r="CE29" s="502">
        <x:v>230000</x:v>
      </x:c>
      <x:c r="CF29" s="502">
        <x:v>2088000</x:v>
      </x:c>
      <x:c r="CG29" s="502">
        <x:v>30269000</x:v>
      </x:c>
      <x:c r="CH29" s="502">
        <x:v>28982000</x:v>
      </x:c>
      <x:c r="CI29" s="495"/>
      <x:c r="CJ29" s="502">
        <x:v>1568000</x:v>
      </x:c>
      <x:c r="CK29" s="502">
        <x:v>1890000</x:v>
      </x:c>
      <x:c r="CL29" s="502">
        <x:v>19278000</x:v>
      </x:c>
      <x:c r="CM29" s="495"/>
      <x:c r="CN29" s="495"/>
      <x:c r="CO29" s="495"/>
      <x:c r="CP29" s="495"/>
      <x:c r="CQ29" s="502">
        <x:v>0</x:v>
      </x:c>
      <x:c r="CR29" s="502">
        <x:v>0</x:v>
      </x:c>
      <x:c r="CS29" s="495"/>
      <x:c r="CT29" s="502">
        <x:v>726000</x:v>
      </x:c>
      <x:c r="CU29" s="502">
        <x:v>5520000</x:v>
      </x:c>
      <x:c r="CV29" s="502">
        <x:v>1287000</x:v>
      </x:c>
      <x:c r="CW29" s="495"/>
      <x:c r="CX29" s="495"/>
      <x:c r="CY29" s="502">
        <x:v>378000</x:v>
      </x:c>
      <x:c r="CZ29" s="502">
        <x:v>882000</x:v>
      </x:c>
      <x:c r="DA29" s="502">
        <x:v>27000</x:v>
      </x:c>
      <x:c r="DB29" s="495"/>
      <x:c r="DC29" s="495"/>
      <x:c r="DD29" s="495"/>
      <x:c r="DE29" s="502">
        <x:v>0</x:v>
      </x:c>
      <x:c r="DF29" s="495"/>
      <x:c r="DG29" s="495"/>
      <x:c r="DH29" s="502">
        <x:v>4863</x:v>
      </x:c>
      <x:c r="DI29" s="502">
        <x:v>113636600</x:v>
      </x:c>
      <x:c r="DJ29" s="495"/>
      <x:c r="DK29" s="495"/>
      <x:c r="DL29" s="495"/>
      <x:c r="DM29" s="495"/>
      <x:c r="DN29" s="495"/>
      <x:c r="DO29" s="495"/>
      <x:c r="DP29" s="495"/>
      <x:c r="DQ29" s="495"/>
      <x:c r="DR29" s="495"/>
      <x:c r="DS29" s="495"/>
      <x:c r="DT29" s="495"/>
      <x:c r="DU29" s="495"/>
      <x:c r="DV29" s="495"/>
      <x:c r="DW29" s="495"/>
      <x:c r="DX29" s="495"/>
      <x:c r="DY29" s="495"/>
      <x:c r="DZ29" s="495"/>
      <x:c r="EA29" s="495"/>
      <x:c r="EB29" s="495"/>
      <x:c r="EC29" s="495"/>
      <x:c r="ED29" s="495"/>
      <x:c r="EE29" s="495"/>
      <x:c r="EF29" s="495"/>
      <x:c r="EG29" s="495"/>
      <x:c r="EH29" s="495"/>
      <x:c r="EI29" s="495"/>
      <x:c r="EJ29" s="495"/>
      <x:c r="EK29" s="495"/>
      <x:c r="EL29" s="495"/>
      <x:c r="EM29" s="495"/>
      <x:c r="EN29" s="495"/>
      <x:c r="EO29" s="495"/>
      <x:c r="EP29" s="495"/>
      <x:c r="EQ29" s="495"/>
      <x:c r="ER29" s="495"/>
      <x:c r="ES29" s="495"/>
      <x:c r="ET29" s="495"/>
      <x:c r="EU29" s="495"/>
    </x:row>
    <x:row r="30" ht="22" customHeight="1">
      <x:c r="A30" s="508" t="s">
        <x:v>176</x:v>
      </x:c>
      <x:c r="B30" s="504">
        <x:v>1478</x:v>
      </x:c>
      <x:c r="C30" s="504">
        <x:v>1478</x:v>
      </x:c>
      <x:c r="D30" s="504">
        <x:v>1082</x:v>
      </x:c>
      <x:c r="E30" s="499"/>
      <x:c r="F30" s="504">
        <x:v>65</x:v>
      </x:c>
      <x:c r="G30" s="504">
        <x:v>30</x:v>
      </x:c>
      <x:c r="H30" s="499"/>
      <x:c r="I30" s="499"/>
      <x:c r="J30" s="499"/>
      <x:c r="K30" s="499"/>
      <x:c r="L30" s="504">
        <x:v>70</x:v>
      </x:c>
      <x:c r="M30" s="504">
        <x:v>913</x:v>
      </x:c>
      <x:c r="N30" s="499"/>
      <x:c r="O30" s="499"/>
      <x:c r="P30" s="504">
        <x:v>4</x:v>
      </x:c>
      <x:c r="Q30" s="504">
        <x:v>396</x:v>
      </x:c>
      <x:c r="R30" s="499"/>
      <x:c r="S30" s="504">
        <x:v>50</x:v>
      </x:c>
      <x:c r="T30" s="499"/>
      <x:c r="U30" s="504">
        <x:v>2</x:v>
      </x:c>
      <x:c r="V30" s="499"/>
      <x:c r="W30" s="499"/>
      <x:c r="X30" s="504">
        <x:v>25</x:v>
      </x:c>
      <x:c r="Y30" s="504">
        <x:v>317</x:v>
      </x:c>
      <x:c r="Z30" s="499"/>
      <x:c r="AA30" s="499"/>
      <x:c r="AB30" s="499"/>
      <x:c r="AC30" s="504">
        <x:v>2</x:v>
      </x:c>
      <x:c r="AD30" s="499"/>
      <x:c r="AE30" s="499"/>
      <x:c r="AF30" s="499"/>
      <x:c r="AG30" s="499"/>
      <x:c r="AH30" s="499"/>
      <x:c r="AI30" s="499"/>
      <x:c r="AJ30" s="499"/>
      <x:c r="AK30" s="499"/>
      <x:c r="AL30" s="499"/>
      <x:c r="AM30" s="499"/>
      <x:c r="AN30" s="499"/>
      <x:c r="AO30" s="499"/>
      <x:c r="AP30" s="499"/>
      <x:c r="AQ30" s="499"/>
      <x:c r="AR30" s="499"/>
      <x:c r="AS30" s="499"/>
      <x:c r="AT30" s="499"/>
      <x:c r="AU30" s="499"/>
      <x:c r="AV30" s="499"/>
      <x:c r="AW30" s="499"/>
      <x:c r="AX30" s="499"/>
      <x:c r="AY30" s="499"/>
      <x:c r="AZ30" s="499"/>
      <x:c r="BA30" s="499"/>
      <x:c r="BB30" s="499"/>
      <x:c r="BC30" s="499"/>
      <x:c r="BD30" s="499"/>
      <x:c r="BE30" s="504">
        <x:v>24802900</x:v>
      </x:c>
      <x:c r="BF30" s="504">
        <x:v>24802900</x:v>
      </x:c>
      <x:c r="BG30" s="504">
        <x:v>18141400</x:v>
      </x:c>
      <x:c r="BH30" s="499"/>
      <x:c r="BI30" s="504">
        <x:v>1045000</x:v>
      </x:c>
      <x:c r="BJ30" s="504">
        <x:v>960000</x:v>
      </x:c>
      <x:c r="BK30" s="499"/>
      <x:c r="BL30" s="499"/>
      <x:c r="BM30" s="499"/>
      <x:c r="BN30" s="499"/>
      <x:c r="BO30" s="504">
        <x:v>2100000</x:v>
      </x:c>
      <x:c r="BP30" s="504">
        <x:v>13572400</x:v>
      </x:c>
      <x:c r="BQ30" s="499"/>
      <x:c r="BR30" s="499"/>
      <x:c r="BS30" s="504">
        <x:v>464000</x:v>
      </x:c>
      <x:c r="BT30" s="504">
        <x:v>6661500</x:v>
      </x:c>
      <x:c r="BU30" s="499"/>
      <x:c r="BV30" s="504">
        <x:v>797500</x:v>
      </x:c>
      <x:c r="BW30" s="499"/>
      <x:c r="BX30" s="504">
        <x:v>182000</x:v>
      </x:c>
      <x:c r="BY30" s="499"/>
      <x:c r="BZ30" s="499"/>
      <x:c r="CA30" s="504">
        <x:v>750000</x:v>
      </x:c>
      <x:c r="CB30" s="504">
        <x:v>4700000</x:v>
      </x:c>
      <x:c r="CC30" s="499"/>
      <x:c r="CD30" s="499"/>
      <x:c r="CE30" s="499"/>
      <x:c r="CF30" s="504">
        <x:v>232000</x:v>
      </x:c>
      <x:c r="CG30" s="499"/>
      <x:c r="CH30" s="499"/>
      <x:c r="CI30" s="499"/>
      <x:c r="CJ30" s="499"/>
      <x:c r="CK30" s="499"/>
      <x:c r="CL30" s="499"/>
      <x:c r="CM30" s="499"/>
      <x:c r="CN30" s="499"/>
      <x:c r="CO30" s="499"/>
      <x:c r="CP30" s="499"/>
      <x:c r="CQ30" s="499"/>
      <x:c r="CR30" s="499"/>
      <x:c r="CS30" s="499"/>
      <x:c r="CT30" s="499"/>
      <x:c r="CU30" s="499"/>
      <x:c r="CV30" s="499"/>
      <x:c r="CW30" s="499"/>
      <x:c r="CX30" s="499"/>
      <x:c r="CY30" s="499"/>
      <x:c r="CZ30" s="499"/>
      <x:c r="DA30" s="499"/>
      <x:c r="DB30" s="499"/>
      <x:c r="DC30" s="499"/>
      <x:c r="DD30" s="499"/>
      <x:c r="DE30" s="499"/>
      <x:c r="DF30" s="499"/>
      <x:c r="DG30" s="499"/>
      <x:c r="DH30" s="504">
        <x:v>1478</x:v>
      </x:c>
      <x:c r="DI30" s="504">
        <x:v>24802900</x:v>
      </x:c>
      <x:c r="DJ30" s="499"/>
      <x:c r="DK30" s="499"/>
      <x:c r="DL30" s="499"/>
      <x:c r="DM30" s="499"/>
      <x:c r="DN30" s="499"/>
      <x:c r="DO30" s="499"/>
      <x:c r="DP30" s="499"/>
      <x:c r="DQ30" s="499"/>
      <x:c r="DR30" s="499"/>
      <x:c r="DS30" s="499"/>
      <x:c r="DT30" s="499"/>
      <x:c r="DU30" s="499"/>
      <x:c r="DV30" s="499"/>
      <x:c r="DW30" s="499"/>
      <x:c r="DX30" s="499"/>
      <x:c r="DY30" s="499"/>
      <x:c r="DZ30" s="499"/>
      <x:c r="EA30" s="499"/>
      <x:c r="EB30" s="499"/>
      <x:c r="EC30" s="499"/>
      <x:c r="ED30" s="499"/>
      <x:c r="EE30" s="499"/>
      <x:c r="EF30" s="499"/>
      <x:c r="EG30" s="499"/>
      <x:c r="EH30" s="499"/>
      <x:c r="EI30" s="499"/>
      <x:c r="EJ30" s="499"/>
      <x:c r="EK30" s="499"/>
      <x:c r="EL30" s="499"/>
      <x:c r="EM30" s="499"/>
      <x:c r="EN30" s="499"/>
      <x:c r="EO30" s="499"/>
      <x:c r="EP30" s="499"/>
      <x:c r="EQ30" s="499"/>
      <x:c r="ER30" s="499"/>
      <x:c r="ES30" s="499"/>
      <x:c r="ET30" s="499"/>
      <x:c r="EU30" s="499"/>
    </x:row>
    <x:row r="31" ht="22" customHeight="1">
      <x:c r="A31" s="507" t="s">
        <x:v>177</x:v>
      </x:c>
      <x:c r="B31" s="502">
        <x:v>138148</x:v>
      </x:c>
      <x:c r="C31" s="502">
        <x:v>116343</x:v>
      </x:c>
      <x:c r="D31" s="502">
        <x:v>85995</x:v>
      </x:c>
      <x:c r="E31" s="502">
        <x:v>581</x:v>
      </x:c>
      <x:c r="F31" s="502">
        <x:v>5101</x:v>
      </x:c>
      <x:c r="G31" s="502">
        <x:v>3002</x:v>
      </x:c>
      <x:c r="H31" s="502">
        <x:v>1062</x:v>
      </x:c>
      <x:c r="I31" s="502">
        <x:v>1676</x:v>
      </x:c>
      <x:c r="J31" s="502">
        <x:v>20</x:v>
      </x:c>
      <x:c r="K31" s="502">
        <x:v>3</x:v>
      </x:c>
      <x:c r="L31" s="502">
        <x:v>2132</x:v>
      </x:c>
      <x:c r="M31" s="502">
        <x:v>71375</x:v>
      </x:c>
      <x:c r="N31" s="502">
        <x:v>0</x:v>
      </x:c>
      <x:c r="O31" s="502">
        <x:v>400</x:v>
      </x:c>
      <x:c r="P31" s="502">
        <x:v>643</x:v>
      </x:c>
      <x:c r="Q31" s="502">
        <x:v>30348</x:v>
      </x:c>
      <x:c r="R31" s="502">
        <x:v>196</x:v>
      </x:c>
      <x:c r="S31" s="502">
        <x:v>1382</x:v>
      </x:c>
      <x:c r="T31" s="502">
        <x:v>900</x:v>
      </x:c>
      <x:c r="U31" s="502">
        <x:v>298</x:v>
      </x:c>
      <x:c r="V31" s="502">
        <x:v>153</x:v>
      </x:c>
      <x:c r="W31" s="502">
        <x:v>2</x:v>
      </x:c>
      <x:c r="X31" s="502">
        <x:v>376</x:v>
      </x:c>
      <x:c r="Y31" s="502">
        <x:v>26805</x:v>
      </x:c>
      <x:c r="Z31" s="502">
        <x:v>0</x:v>
      </x:c>
      <x:c r="AA31" s="502">
        <x:v>3</x:v>
      </x:c>
      <x:c r="AB31" s="502">
        <x:v>53</x:v>
      </x:c>
      <x:c r="AC31" s="502">
        <x:v>180</x:v>
      </x:c>
      <x:c r="AD31" s="502">
        <x:v>21805</x:v>
      </x:c>
      <x:c r="AE31" s="502">
        <x:v>16311</x:v>
      </x:c>
      <x:c r="AF31" s="502">
        <x:v>72</x:v>
      </x:c>
      <x:c r="AG31" s="502">
        <x:v>198</x:v>
      </x:c>
      <x:c r="AH31" s="502">
        <x:v>850</x:v>
      </x:c>
      <x:c r="AI31" s="502">
        <x:v>2108</x:v>
      </x:c>
      <x:c r="AJ31" s="502">
        <x:v>90</x:v>
      </x:c>
      <x:c r="AK31" s="502">
        <x:v>20</x:v>
      </x:c>
      <x:c r="AL31" s="502">
        <x:v>1</x:v>
      </x:c>
      <x:c r="AM31" s="502">
        <x:v>145</x:v>
      </x:c>
      <x:c r="AN31" s="502">
        <x:v>5776</x:v>
      </x:c>
      <x:c r="AO31" s="502">
        <x:v>0</x:v>
      </x:c>
      <x:c r="AP31" s="502">
        <x:v>2</x:v>
      </x:c>
      <x:c r="AQ31" s="502">
        <x:v>2723</x:v>
      </x:c>
      <x:c r="AR31" s="502">
        <x:v>4326</x:v>
      </x:c>
      <x:c r="AS31" s="502">
        <x:v>5494</x:v>
      </x:c>
      <x:c r="AT31" s="502">
        <x:v>12</x:v>
      </x:c>
      <x:c r="AU31" s="502">
        <x:v>63</x:v>
      </x:c>
      <x:c r="AV31" s="502">
        <x:v>232</x:v>
      </x:c>
      <x:c r="AW31" s="502">
        <x:v>559</x:v>
      </x:c>
      <x:c r="AX31" s="502">
        <x:v>30</x:v>
      </x:c>
      <x:c r="AY31" s="502">
        <x:v>530</x:v>
      </x:c>
      <x:c r="AZ31" s="502">
        <x:v>19</x:v>
      </x:c>
      <x:c r="BA31" s="502">
        <x:v>2466</x:v>
      </x:c>
      <x:c r="BB31" s="502">
        <x:v>0</x:v>
      </x:c>
      <x:c r="BC31" s="502">
        <x:v>614</x:v>
      </x:c>
      <x:c r="BD31" s="502">
        <x:v>969</x:v>
      </x:c>
      <x:c r="BE31" s="502">
        <x:v>3730730100</x:v>
      </x:c>
      <x:c r="BF31" s="502">
        <x:v>2058212300</x:v>
      </x:c>
      <x:c r="BG31" s="502">
        <x:v>1539272900</x:v>
      </x:c>
      <x:c r="BH31" s="502">
        <x:v>8715000</x:v>
      </x:c>
      <x:c r="BI31" s="502">
        <x:v>87433500</x:v>
      </x:c>
      <x:c r="BJ31" s="502">
        <x:v>96064000</x:v>
      </x:c>
      <x:c r="BK31" s="502">
        <x:v>96642000</x:v>
      </x:c>
      <x:c r="BL31" s="502">
        <x:v>1947800</x:v>
      </x:c>
      <x:c r="BM31" s="502">
        <x:v>12000</x:v>
      </x:c>
      <x:c r="BN31" s="502">
        <x:v>0</x:v>
      </x:c>
      <x:c r="BO31" s="502">
        <x:v>63960000</x:v>
      </x:c>
      <x:c r="BP31" s="502">
        <x:v>1063910600</x:v>
      </x:c>
      <x:c r="BQ31" s="502">
        <x:v>0</x:v>
      </x:c>
      <x:c r="BR31" s="502">
        <x:v>46000000</x:v>
      </x:c>
      <x:c r="BS31" s="502">
        <x:v>74588000</x:v>
      </x:c>
      <x:c r="BT31" s="502">
        <x:v>518939400</x:v>
      </x:c>
      <x:c r="BU31" s="502">
        <x:v>2940000</x:v>
      </x:c>
      <x:c r="BV31" s="502">
        <x:v>22257400</x:v>
      </x:c>
      <x:c r="BW31" s="502">
        <x:v>28800000</x:v>
      </x:c>
      <x:c r="BX31" s="502">
        <x:v>27118000</x:v>
      </x:c>
      <x:c r="BY31" s="502">
        <x:v>213200</x:v>
      </x:c>
      <x:c r="BZ31" s="502">
        <x:v>0</x:v>
      </x:c>
      <x:c r="CA31" s="502">
        <x:v>11280000</x:v>
      </x:c>
      <x:c r="CB31" s="502">
        <x:v>398860800</x:v>
      </x:c>
      <x:c r="CC31" s="502">
        <x:v>0</x:v>
      </x:c>
      <x:c r="CD31" s="502">
        <x:v>495000</x:v>
      </x:c>
      <x:c r="CE31" s="502">
        <x:v>6095000</x:v>
      </x:c>
      <x:c r="CF31" s="502">
        <x:v>20880000</x:v>
      </x:c>
      <x:c r="CG31" s="502">
        <x:v>1672517800</x:v>
      </x:c>
      <x:c r="CH31" s="502">
        <x:v>1335224400</x:v>
      </x:c>
      <x:c r="CI31" s="502">
        <x:v>2304000</x:v>
      </x:c>
      <x:c r="CJ31" s="502">
        <x:v>39474000</x:v>
      </x:c>
      <x:c r="CK31" s="502">
        <x:v>107100000</x:v>
      </x:c>
      <x:c r="CL31" s="502">
        <x:v>265608000</x:v>
      </x:c>
      <x:c r="CM31" s="502">
        <x:v>123000</x:v>
      </x:c>
      <x:c r="CN31" s="502">
        <x:v>12000</x:v>
      </x:c>
      <x:c r="CO31" s="502">
        <x:v>0</x:v>
      </x:c>
      <x:c r="CP31" s="502">
        <x:v>4350000</x:v>
      </x:c>
      <x:c r="CQ31" s="502">
        <x:v>88950400</x:v>
      </x:c>
      <x:c r="CR31" s="502">
        <x:v>0</x:v>
      </x:c>
      <x:c r="CS31" s="502">
        <x:v>330000</x:v>
      </x:c>
      <x:c r="CT31" s="502">
        <x:v>329483000</x:v>
      </x:c>
      <x:c r="CU31" s="502">
        <x:v>497490000</x:v>
      </x:c>
      <x:c r="CV31" s="502">
        <x:v>337293400</x:v>
      </x:c>
      <x:c r="CW31" s="502">
        <x:v>384000</x:v>
      </x:c>
      <x:c r="CX31" s="502">
        <x:v>12609000</x:v>
      </x:c>
      <x:c r="CY31" s="502">
        <x:v>29232000</x:v>
      </x:c>
      <x:c r="CZ31" s="502">
        <x:v>70434000</x:v>
      </x:c>
      <x:c r="DA31" s="502">
        <x:v>41000</x:v>
      </x:c>
      <x:c r="DB31" s="502">
        <x:v>318000</x:v>
      </x:c>
      <x:c r="DC31" s="502">
        <x:v>570000</x:v>
      </x:c>
      <x:c r="DD31" s="502">
        <x:v>37976400</x:v>
      </x:c>
      <x:c r="DE31" s="502">
        <x:v>0</x:v>
      </x:c>
      <x:c r="DF31" s="502">
        <x:v>74294000</x:v>
      </x:c>
      <x:c r="DG31" s="502">
        <x:v>111435000</x:v>
      </x:c>
      <x:c r="DH31" s="502">
        <x:v>138148</x:v>
      </x:c>
      <x:c r="DI31" s="502">
        <x:v>3730730100</x:v>
      </x:c>
      <x:c r="DJ31" s="495"/>
      <x:c r="DK31" s="495"/>
      <x:c r="DL31" s="495"/>
      <x:c r="DM31" s="495"/>
      <x:c r="DN31" s="495"/>
      <x:c r="DO31" s="495"/>
      <x:c r="DP31" s="495"/>
      <x:c r="DQ31" s="495"/>
      <x:c r="DR31" s="495"/>
      <x:c r="DS31" s="495"/>
      <x:c r="DT31" s="495"/>
      <x:c r="DU31" s="495"/>
      <x:c r="DV31" s="495"/>
      <x:c r="DW31" s="495"/>
      <x:c r="DX31" s="495"/>
      <x:c r="DY31" s="495"/>
      <x:c r="DZ31" s="495"/>
      <x:c r="EA31" s="495"/>
      <x:c r="EB31" s="495"/>
      <x:c r="EC31" s="495"/>
      <x:c r="ED31" s="495"/>
      <x:c r="EE31" s="495"/>
      <x:c r="EF31" s="495"/>
      <x:c r="EG31" s="495"/>
      <x:c r="EH31" s="495"/>
      <x:c r="EI31" s="495"/>
      <x:c r="EJ31" s="495"/>
      <x:c r="EK31" s="495"/>
      <x:c r="EL31" s="495"/>
      <x:c r="EM31" s="495"/>
      <x:c r="EN31" s="495"/>
      <x:c r="EO31" s="495"/>
      <x:c r="EP31" s="495"/>
      <x:c r="EQ31" s="495"/>
      <x:c r="ER31" s="495"/>
      <x:c r="ES31" s="495"/>
      <x:c r="ET31" s="495"/>
      <x:c r="EU31" s="495"/>
    </x:row>
    <x:row r="32" ht="22" customHeight="1">
      <x:c r="A32" s="496"/>
      <x:c r="B32" s="499"/>
      <x:c r="C32" s="499"/>
      <x:c r="D32" s="499"/>
      <x:c r="E32" s="499"/>
      <x:c r="F32" s="499"/>
      <x:c r="G32" s="499"/>
      <x:c r="H32" s="499"/>
      <x:c r="I32" s="499"/>
      <x:c r="J32" s="499"/>
      <x:c r="K32" s="499"/>
      <x:c r="L32" s="499"/>
      <x:c r="M32" s="499"/>
      <x:c r="N32" s="499"/>
      <x:c r="O32" s="499"/>
      <x:c r="P32" s="499"/>
      <x:c r="Q32" s="499"/>
      <x:c r="R32" s="499"/>
      <x:c r="S32" s="499"/>
      <x:c r="T32" s="499"/>
      <x:c r="U32" s="499"/>
      <x:c r="V32" s="499"/>
      <x:c r="W32" s="499"/>
      <x:c r="X32" s="499"/>
      <x:c r="Y32" s="499"/>
      <x:c r="Z32" s="499"/>
      <x:c r="AA32" s="499"/>
      <x:c r="AB32" s="499"/>
      <x:c r="AC32" s="499"/>
      <x:c r="AD32" s="499"/>
      <x:c r="AE32" s="499"/>
      <x:c r="AF32" s="499"/>
      <x:c r="AG32" s="499"/>
      <x:c r="AH32" s="499"/>
      <x:c r="AI32" s="499"/>
      <x:c r="AJ32" s="499"/>
      <x:c r="AK32" s="499"/>
      <x:c r="AL32" s="499"/>
      <x:c r="AM32" s="499"/>
      <x:c r="AN32" s="499"/>
      <x:c r="AO32" s="499"/>
      <x:c r="AP32" s="499"/>
      <x:c r="AQ32" s="499"/>
      <x:c r="AR32" s="499"/>
      <x:c r="AS32" s="499"/>
      <x:c r="AT32" s="499"/>
      <x:c r="AU32" s="499"/>
      <x:c r="AV32" s="499"/>
      <x:c r="AW32" s="499"/>
      <x:c r="AX32" s="499"/>
      <x:c r="AY32" s="499"/>
      <x:c r="AZ32" s="499"/>
      <x:c r="BA32" s="499"/>
      <x:c r="BB32" s="499"/>
      <x:c r="BC32" s="499"/>
      <x:c r="BD32" s="499"/>
      <x:c r="BE32" s="499"/>
      <x:c r="BF32" s="499"/>
      <x:c r="BG32" s="499"/>
      <x:c r="BH32" s="499"/>
      <x:c r="BI32" s="499"/>
      <x:c r="BJ32" s="499"/>
      <x:c r="BK32" s="499"/>
      <x:c r="BL32" s="499"/>
      <x:c r="BM32" s="499"/>
      <x:c r="BN32" s="499"/>
      <x:c r="BO32" s="499"/>
      <x:c r="BP32" s="499"/>
      <x:c r="BQ32" s="499"/>
      <x:c r="BR32" s="499"/>
      <x:c r="BS32" s="499"/>
      <x:c r="BT32" s="499"/>
      <x:c r="BU32" s="499"/>
      <x:c r="BV32" s="499"/>
      <x:c r="BW32" s="499"/>
      <x:c r="BX32" s="499"/>
      <x:c r="BY32" s="499"/>
      <x:c r="BZ32" s="499"/>
      <x:c r="CA32" s="499"/>
      <x:c r="CB32" s="499"/>
      <x:c r="CC32" s="499"/>
      <x:c r="CD32" s="499"/>
      <x:c r="CE32" s="499"/>
      <x:c r="CF32" s="499"/>
      <x:c r="CG32" s="499"/>
      <x:c r="CH32" s="499"/>
      <x:c r="CI32" s="499"/>
      <x:c r="CJ32" s="499"/>
      <x:c r="CK32" s="499"/>
      <x:c r="CL32" s="499"/>
      <x:c r="CM32" s="499"/>
      <x:c r="CN32" s="499"/>
      <x:c r="CO32" s="499"/>
      <x:c r="CP32" s="499"/>
      <x:c r="CQ32" s="499"/>
      <x:c r="CR32" s="499"/>
      <x:c r="CS32" s="499"/>
      <x:c r="CT32" s="499"/>
      <x:c r="CU32" s="499"/>
      <x:c r="CV32" s="499"/>
      <x:c r="CW32" s="499"/>
      <x:c r="CX32" s="499"/>
      <x:c r="CY32" s="499"/>
      <x:c r="CZ32" s="499"/>
      <x:c r="DA32" s="499"/>
      <x:c r="DB32" s="499"/>
      <x:c r="DC32" s="499"/>
      <x:c r="DD32" s="499"/>
      <x:c r="DE32" s="499"/>
      <x:c r="DF32" s="499"/>
      <x:c r="DG32" s="499"/>
      <x:c r="DH32" s="499"/>
      <x:c r="DI32" s="499"/>
      <x:c r="DJ32" s="499"/>
      <x:c r="DK32" s="499"/>
      <x:c r="DL32" s="499"/>
      <x:c r="DM32" s="499"/>
      <x:c r="DN32" s="499"/>
      <x:c r="DO32" s="499"/>
      <x:c r="DP32" s="499"/>
      <x:c r="DQ32" s="499"/>
      <x:c r="DR32" s="499"/>
      <x:c r="DS32" s="499"/>
      <x:c r="DT32" s="499"/>
      <x:c r="DU32" s="499"/>
      <x:c r="DV32" s="499"/>
      <x:c r="DW32" s="499"/>
      <x:c r="DX32" s="499"/>
      <x:c r="DY32" s="499"/>
      <x:c r="DZ32" s="499"/>
      <x:c r="EA32" s="499"/>
      <x:c r="EB32" s="499"/>
      <x:c r="EC32" s="499"/>
      <x:c r="ED32" s="499"/>
      <x:c r="EE32" s="499"/>
      <x:c r="EF32" s="499"/>
      <x:c r="EG32" s="499"/>
      <x:c r="EH32" s="499"/>
      <x:c r="EI32" s="499"/>
      <x:c r="EJ32" s="499"/>
      <x:c r="EK32" s="499"/>
      <x:c r="EL32" s="499"/>
      <x:c r="EM32" s="499"/>
      <x:c r="EN32" s="499"/>
      <x:c r="EO32" s="499"/>
      <x:c r="EP32" s="499"/>
      <x:c r="EQ32" s="499"/>
      <x:c r="ER32" s="499"/>
      <x:c r="ES32" s="499"/>
      <x:c r="ET32" s="499"/>
      <x:c r="EU32" s="499"/>
    </x:row>
    <x:row r="33" ht="22" customHeight="1">
      <x:c r="A33" s="492"/>
      <x:c r="B33" s="495"/>
      <x:c r="C33" s="495"/>
      <x:c r="D33" s="495"/>
      <x:c r="E33" s="495"/>
      <x:c r="F33" s="495"/>
      <x:c r="G33" s="495"/>
      <x:c r="H33" s="495"/>
      <x:c r="I33" s="495"/>
      <x:c r="J33" s="495"/>
      <x:c r="K33" s="495"/>
      <x:c r="L33" s="495"/>
      <x:c r="M33" s="495"/>
      <x:c r="N33" s="495"/>
      <x:c r="O33" s="495"/>
      <x:c r="P33" s="495"/>
      <x:c r="Q33" s="495"/>
      <x:c r="R33" s="495"/>
      <x:c r="S33" s="495"/>
      <x:c r="T33" s="495"/>
      <x:c r="U33" s="495"/>
      <x:c r="V33" s="495"/>
      <x:c r="W33" s="495"/>
      <x:c r="X33" s="495"/>
      <x:c r="Y33" s="495"/>
      <x:c r="Z33" s="495"/>
      <x:c r="AA33" s="495"/>
      <x:c r="AB33" s="495"/>
      <x:c r="AC33" s="495"/>
      <x:c r="AD33" s="495"/>
      <x:c r="AE33" s="495"/>
      <x:c r="AF33" s="495"/>
      <x:c r="AG33" s="495"/>
      <x:c r="AH33" s="495"/>
      <x:c r="AI33" s="495"/>
      <x:c r="AJ33" s="495"/>
      <x:c r="AK33" s="495"/>
      <x:c r="AL33" s="495"/>
      <x:c r="AM33" s="495"/>
      <x:c r="AN33" s="495"/>
      <x:c r="AO33" s="495"/>
      <x:c r="AP33" s="495"/>
      <x:c r="AQ33" s="495"/>
      <x:c r="AR33" s="495"/>
      <x:c r="AS33" s="495"/>
      <x:c r="AT33" s="495"/>
      <x:c r="AU33" s="495"/>
      <x:c r="AV33" s="495"/>
      <x:c r="AW33" s="495"/>
      <x:c r="AX33" s="495"/>
      <x:c r="AY33" s="495"/>
      <x:c r="AZ33" s="495"/>
      <x:c r="BA33" s="495"/>
      <x:c r="BB33" s="495"/>
      <x:c r="BC33" s="495"/>
      <x:c r="BD33" s="495"/>
      <x:c r="BE33" s="495"/>
      <x:c r="BF33" s="495"/>
      <x:c r="BG33" s="495"/>
      <x:c r="BH33" s="495"/>
      <x:c r="BI33" s="495"/>
      <x:c r="BJ33" s="495"/>
      <x:c r="BK33" s="495"/>
      <x:c r="BL33" s="495"/>
      <x:c r="BM33" s="495"/>
      <x:c r="BN33" s="495"/>
      <x:c r="BO33" s="495"/>
      <x:c r="BP33" s="495"/>
      <x:c r="BQ33" s="495"/>
      <x:c r="BR33" s="495"/>
      <x:c r="BS33" s="495"/>
      <x:c r="BT33" s="495"/>
      <x:c r="BU33" s="495"/>
      <x:c r="BV33" s="495"/>
      <x:c r="BW33" s="495"/>
      <x:c r="BX33" s="495"/>
      <x:c r="BY33" s="495"/>
      <x:c r="BZ33" s="495"/>
      <x:c r="CA33" s="495"/>
      <x:c r="CB33" s="495"/>
      <x:c r="CC33" s="495"/>
      <x:c r="CD33" s="495"/>
      <x:c r="CE33" s="495"/>
      <x:c r="CF33" s="495"/>
      <x:c r="CG33" s="495"/>
      <x:c r="CH33" s="495"/>
      <x:c r="CI33" s="495"/>
      <x:c r="CJ33" s="495"/>
      <x:c r="CK33" s="495"/>
      <x:c r="CL33" s="495"/>
      <x:c r="CM33" s="495"/>
      <x:c r="CN33" s="495"/>
      <x:c r="CO33" s="495"/>
      <x:c r="CP33" s="495"/>
      <x:c r="CQ33" s="495"/>
      <x:c r="CR33" s="495"/>
      <x:c r="CS33" s="495"/>
      <x:c r="CT33" s="495"/>
      <x:c r="CU33" s="495"/>
      <x:c r="CV33" s="495"/>
      <x:c r="CW33" s="495"/>
      <x:c r="CX33" s="495"/>
      <x:c r="CY33" s="495"/>
      <x:c r="CZ33" s="495"/>
      <x:c r="DA33" s="495"/>
      <x:c r="DB33" s="495"/>
      <x:c r="DC33" s="495"/>
      <x:c r="DD33" s="495"/>
      <x:c r="DE33" s="495"/>
      <x:c r="DF33" s="495"/>
      <x:c r="DG33" s="495"/>
      <x:c r="DH33" s="495"/>
      <x:c r="DI33" s="495"/>
      <x:c r="DJ33" s="495"/>
      <x:c r="DK33" s="495"/>
      <x:c r="DL33" s="495"/>
      <x:c r="DM33" s="495"/>
      <x:c r="DN33" s="495"/>
      <x:c r="DO33" s="495"/>
      <x:c r="DP33" s="495"/>
      <x:c r="DQ33" s="495"/>
      <x:c r="DR33" s="495"/>
      <x:c r="DS33" s="495"/>
      <x:c r="DT33" s="495"/>
      <x:c r="DU33" s="495"/>
      <x:c r="DV33" s="495"/>
      <x:c r="DW33" s="495"/>
      <x:c r="DX33" s="495"/>
      <x:c r="DY33" s="495"/>
      <x:c r="DZ33" s="495"/>
      <x:c r="EA33" s="495"/>
      <x:c r="EB33" s="495"/>
      <x:c r="EC33" s="495"/>
      <x:c r="ED33" s="495"/>
      <x:c r="EE33" s="495"/>
      <x:c r="EF33" s="495"/>
      <x:c r="EG33" s="495"/>
      <x:c r="EH33" s="495"/>
      <x:c r="EI33" s="495"/>
      <x:c r="EJ33" s="495"/>
      <x:c r="EK33" s="495"/>
      <x:c r="EL33" s="495"/>
      <x:c r="EM33" s="495"/>
      <x:c r="EN33" s="495"/>
      <x:c r="EO33" s="495"/>
      <x:c r="EP33" s="495"/>
      <x:c r="EQ33" s="495"/>
      <x:c r="ER33" s="495"/>
      <x:c r="ES33" s="495"/>
      <x:c r="ET33" s="495"/>
      <x:c r="EU33" s="495"/>
    </x:row>
    <x:row r="34" ht="22" customHeight="1">
      <x:c r="A34" s="496"/>
      <x:c r="B34" s="499"/>
      <x:c r="C34" s="499"/>
      <x:c r="D34" s="499"/>
      <x:c r="E34" s="499"/>
      <x:c r="F34" s="499"/>
      <x:c r="G34" s="499"/>
      <x:c r="H34" s="499"/>
      <x:c r="I34" s="499"/>
      <x:c r="J34" s="499"/>
      <x:c r="K34" s="499"/>
      <x:c r="L34" s="499"/>
      <x:c r="M34" s="499"/>
      <x:c r="N34" s="499"/>
      <x:c r="O34" s="499"/>
      <x:c r="P34" s="499"/>
      <x:c r="Q34" s="499"/>
      <x:c r="R34" s="499"/>
      <x:c r="S34" s="499"/>
      <x:c r="T34" s="499"/>
      <x:c r="U34" s="499"/>
      <x:c r="V34" s="499"/>
      <x:c r="W34" s="499"/>
      <x:c r="X34" s="499"/>
      <x:c r="Y34" s="499"/>
      <x:c r="Z34" s="499"/>
      <x:c r="AA34" s="499"/>
      <x:c r="AB34" s="499"/>
      <x:c r="AC34" s="499"/>
      <x:c r="AD34" s="499"/>
      <x:c r="AE34" s="499"/>
      <x:c r="AF34" s="499"/>
      <x:c r="AG34" s="499"/>
      <x:c r="AH34" s="499"/>
      <x:c r="AI34" s="499"/>
      <x:c r="AJ34" s="499"/>
      <x:c r="AK34" s="499"/>
      <x:c r="AL34" s="499"/>
      <x:c r="AM34" s="499"/>
      <x:c r="AN34" s="499"/>
      <x:c r="AO34" s="499"/>
      <x:c r="AP34" s="499"/>
      <x:c r="AQ34" s="499"/>
      <x:c r="AR34" s="499"/>
      <x:c r="AS34" s="499"/>
      <x:c r="AT34" s="499"/>
      <x:c r="AU34" s="499"/>
      <x:c r="AV34" s="499"/>
      <x:c r="AW34" s="499"/>
      <x:c r="AX34" s="499"/>
      <x:c r="AY34" s="499"/>
      <x:c r="AZ34" s="499"/>
      <x:c r="BA34" s="499"/>
      <x:c r="BB34" s="499"/>
      <x:c r="BC34" s="499"/>
      <x:c r="BD34" s="499"/>
      <x:c r="BE34" s="499"/>
      <x:c r="BF34" s="499"/>
      <x:c r="BG34" s="499"/>
      <x:c r="BH34" s="499"/>
      <x:c r="BI34" s="499"/>
      <x:c r="BJ34" s="499"/>
      <x:c r="BK34" s="499"/>
      <x:c r="BL34" s="499"/>
      <x:c r="BM34" s="499"/>
      <x:c r="BN34" s="499"/>
      <x:c r="BO34" s="499"/>
      <x:c r="BP34" s="499"/>
      <x:c r="BQ34" s="499"/>
      <x:c r="BR34" s="499"/>
      <x:c r="BS34" s="499"/>
      <x:c r="BT34" s="499"/>
      <x:c r="BU34" s="499"/>
      <x:c r="BV34" s="499"/>
      <x:c r="BW34" s="499"/>
      <x:c r="BX34" s="499"/>
      <x:c r="BY34" s="499"/>
      <x:c r="BZ34" s="499"/>
      <x:c r="CA34" s="499"/>
      <x:c r="CB34" s="499"/>
      <x:c r="CC34" s="499"/>
      <x:c r="CD34" s="499"/>
      <x:c r="CE34" s="499"/>
      <x:c r="CF34" s="499"/>
      <x:c r="CG34" s="499"/>
      <x:c r="CH34" s="499"/>
      <x:c r="CI34" s="499"/>
      <x:c r="CJ34" s="499"/>
      <x:c r="CK34" s="499"/>
      <x:c r="CL34" s="499"/>
      <x:c r="CM34" s="499"/>
      <x:c r="CN34" s="499"/>
      <x:c r="CO34" s="499"/>
      <x:c r="CP34" s="499"/>
      <x:c r="CQ34" s="499"/>
      <x:c r="CR34" s="499"/>
      <x:c r="CS34" s="499"/>
      <x:c r="CT34" s="499"/>
      <x:c r="CU34" s="499"/>
      <x:c r="CV34" s="499"/>
      <x:c r="CW34" s="499"/>
      <x:c r="CX34" s="499"/>
      <x:c r="CY34" s="499"/>
      <x:c r="CZ34" s="499"/>
      <x:c r="DA34" s="499"/>
      <x:c r="DB34" s="499"/>
      <x:c r="DC34" s="499"/>
      <x:c r="DD34" s="499"/>
      <x:c r="DE34" s="499"/>
      <x:c r="DF34" s="499"/>
      <x:c r="DG34" s="499"/>
      <x:c r="DH34" s="499"/>
      <x:c r="DI34" s="499"/>
      <x:c r="DJ34" s="499"/>
      <x:c r="DK34" s="499"/>
      <x:c r="DL34" s="499"/>
      <x:c r="DM34" s="499"/>
      <x:c r="DN34" s="499"/>
      <x:c r="DO34" s="499"/>
      <x:c r="DP34" s="499"/>
      <x:c r="DQ34" s="499"/>
      <x:c r="DR34" s="499"/>
      <x:c r="DS34" s="499"/>
      <x:c r="DT34" s="499"/>
      <x:c r="DU34" s="499"/>
      <x:c r="DV34" s="499"/>
      <x:c r="DW34" s="499"/>
      <x:c r="DX34" s="499"/>
      <x:c r="DY34" s="499"/>
      <x:c r="DZ34" s="499"/>
      <x:c r="EA34" s="499"/>
      <x:c r="EB34" s="499"/>
      <x:c r="EC34" s="499"/>
      <x:c r="ED34" s="499"/>
      <x:c r="EE34" s="499"/>
      <x:c r="EF34" s="499"/>
      <x:c r="EG34" s="499"/>
      <x:c r="EH34" s="499"/>
      <x:c r="EI34" s="499"/>
      <x:c r="EJ34" s="499"/>
      <x:c r="EK34" s="499"/>
      <x:c r="EL34" s="499"/>
      <x:c r="EM34" s="499"/>
      <x:c r="EN34" s="499"/>
      <x:c r="EO34" s="499"/>
      <x:c r="EP34" s="499"/>
      <x:c r="EQ34" s="499"/>
      <x:c r="ER34" s="499"/>
      <x:c r="ES34" s="499"/>
      <x:c r="ET34" s="499"/>
      <x:c r="EU34" s="499"/>
    </x:row>
    <x:row r="35" ht="22" customHeight="1">
      <x:c r="A35" s="492"/>
      <x:c r="B35" s="495"/>
      <x:c r="C35" s="495"/>
      <x:c r="D35" s="495"/>
      <x:c r="E35" s="495"/>
      <x:c r="F35" s="495"/>
      <x:c r="G35" s="495"/>
      <x:c r="H35" s="495"/>
      <x:c r="I35" s="495"/>
      <x:c r="J35" s="495"/>
      <x:c r="K35" s="495"/>
      <x:c r="L35" s="495"/>
      <x:c r="M35" s="495"/>
      <x:c r="N35" s="495"/>
      <x:c r="O35" s="495"/>
      <x:c r="P35" s="495"/>
      <x:c r="Q35" s="495"/>
      <x:c r="R35" s="495"/>
      <x:c r="S35" s="495"/>
      <x:c r="T35" s="495"/>
      <x:c r="U35" s="495"/>
      <x:c r="V35" s="495"/>
      <x:c r="W35" s="495"/>
      <x:c r="X35" s="495"/>
      <x:c r="Y35" s="495"/>
      <x:c r="Z35" s="495"/>
      <x:c r="AA35" s="495"/>
      <x:c r="AB35" s="495"/>
      <x:c r="AC35" s="495"/>
      <x:c r="AD35" s="495"/>
      <x:c r="AE35" s="495"/>
      <x:c r="AF35" s="495"/>
      <x:c r="AG35" s="495"/>
      <x:c r="AH35" s="495"/>
      <x:c r="AI35" s="495"/>
      <x:c r="AJ35" s="495"/>
      <x:c r="AK35" s="495"/>
      <x:c r="AL35" s="495"/>
      <x:c r="AM35" s="495"/>
      <x:c r="AN35" s="495"/>
      <x:c r="AO35" s="495"/>
      <x:c r="AP35" s="495"/>
      <x:c r="AQ35" s="495"/>
      <x:c r="AR35" s="495"/>
      <x:c r="AS35" s="495"/>
      <x:c r="AT35" s="495"/>
      <x:c r="AU35" s="495"/>
      <x:c r="AV35" s="495"/>
      <x:c r="AW35" s="495"/>
      <x:c r="AX35" s="495"/>
      <x:c r="AY35" s="495"/>
      <x:c r="AZ35" s="495"/>
      <x:c r="BA35" s="495"/>
      <x:c r="BB35" s="495"/>
      <x:c r="BC35" s="495"/>
      <x:c r="BD35" s="495"/>
      <x:c r="BE35" s="495"/>
      <x:c r="BF35" s="495"/>
      <x:c r="BG35" s="495"/>
      <x:c r="BH35" s="495"/>
      <x:c r="BI35" s="495"/>
      <x:c r="BJ35" s="495"/>
      <x:c r="BK35" s="495"/>
      <x:c r="BL35" s="495"/>
      <x:c r="BM35" s="495"/>
      <x:c r="BN35" s="495"/>
      <x:c r="BO35" s="495"/>
      <x:c r="BP35" s="495"/>
      <x:c r="BQ35" s="495"/>
      <x:c r="BR35" s="495"/>
      <x:c r="BS35" s="495"/>
      <x:c r="BT35" s="495"/>
      <x:c r="BU35" s="495"/>
      <x:c r="BV35" s="495"/>
      <x:c r="BW35" s="495"/>
      <x:c r="BX35" s="495"/>
      <x:c r="BY35" s="495"/>
      <x:c r="BZ35" s="495"/>
      <x:c r="CA35" s="495"/>
      <x:c r="CB35" s="495"/>
      <x:c r="CC35" s="495"/>
      <x:c r="CD35" s="495"/>
      <x:c r="CE35" s="495"/>
      <x:c r="CF35" s="495"/>
      <x:c r="CG35" s="495"/>
      <x:c r="CH35" s="495"/>
      <x:c r="CI35" s="495"/>
      <x:c r="CJ35" s="495"/>
      <x:c r="CK35" s="495"/>
      <x:c r="CL35" s="495"/>
      <x:c r="CM35" s="495"/>
      <x:c r="CN35" s="495"/>
      <x:c r="CO35" s="495"/>
      <x:c r="CP35" s="495"/>
      <x:c r="CQ35" s="495"/>
      <x:c r="CR35" s="495"/>
      <x:c r="CS35" s="495"/>
      <x:c r="CT35" s="495"/>
      <x:c r="CU35" s="495"/>
      <x:c r="CV35" s="495"/>
      <x:c r="CW35" s="495"/>
      <x:c r="CX35" s="495"/>
      <x:c r="CY35" s="495"/>
      <x:c r="CZ35" s="495"/>
      <x:c r="DA35" s="495"/>
      <x:c r="DB35" s="495"/>
      <x:c r="DC35" s="495"/>
      <x:c r="DD35" s="495"/>
      <x:c r="DE35" s="495"/>
      <x:c r="DF35" s="495"/>
      <x:c r="DG35" s="495"/>
      <x:c r="DH35" s="495"/>
      <x:c r="DI35" s="495"/>
      <x:c r="DJ35" s="495"/>
      <x:c r="DK35" s="495"/>
      <x:c r="DL35" s="495"/>
      <x:c r="DM35" s="495"/>
      <x:c r="DN35" s="495"/>
      <x:c r="DO35" s="495"/>
      <x:c r="DP35" s="495"/>
      <x:c r="DQ35" s="495"/>
      <x:c r="DR35" s="495"/>
      <x:c r="DS35" s="495"/>
      <x:c r="DT35" s="495"/>
      <x:c r="DU35" s="495"/>
      <x:c r="DV35" s="495"/>
      <x:c r="DW35" s="495"/>
      <x:c r="DX35" s="495"/>
      <x:c r="DY35" s="495"/>
      <x:c r="DZ35" s="495"/>
      <x:c r="EA35" s="495"/>
      <x:c r="EB35" s="495"/>
      <x:c r="EC35" s="495"/>
      <x:c r="ED35" s="495"/>
      <x:c r="EE35" s="495"/>
      <x:c r="EF35" s="495"/>
      <x:c r="EG35" s="495"/>
      <x:c r="EH35" s="495"/>
      <x:c r="EI35" s="495"/>
      <x:c r="EJ35" s="495"/>
      <x:c r="EK35" s="495"/>
      <x:c r="EL35" s="495"/>
      <x:c r="EM35" s="495"/>
      <x:c r="EN35" s="495"/>
      <x:c r="EO35" s="495"/>
      <x:c r="EP35" s="495"/>
      <x:c r="EQ35" s="495"/>
      <x:c r="ER35" s="495"/>
      <x:c r="ES35" s="495"/>
      <x:c r="ET35" s="495"/>
      <x:c r="EU35" s="495"/>
    </x:row>
    <x:row r="36" ht="22" customHeight="1">
      <x:c r="A36" s="496"/>
      <x:c r="B36" s="499"/>
      <x:c r="C36" s="499"/>
      <x:c r="D36" s="499"/>
      <x:c r="E36" s="499"/>
      <x:c r="F36" s="499"/>
      <x:c r="G36" s="499"/>
      <x:c r="H36" s="499"/>
      <x:c r="I36" s="499"/>
      <x:c r="J36" s="499"/>
      <x:c r="K36" s="499"/>
      <x:c r="L36" s="499"/>
      <x:c r="M36" s="499"/>
      <x:c r="N36" s="499"/>
      <x:c r="O36" s="499"/>
      <x:c r="P36" s="499"/>
      <x:c r="Q36" s="499"/>
      <x:c r="R36" s="499"/>
      <x:c r="S36" s="499"/>
      <x:c r="T36" s="499"/>
      <x:c r="U36" s="499"/>
      <x:c r="V36" s="499"/>
      <x:c r="W36" s="499"/>
      <x:c r="X36" s="499"/>
      <x:c r="Y36" s="499"/>
      <x:c r="Z36" s="499"/>
      <x:c r="AA36" s="499"/>
      <x:c r="AB36" s="499"/>
      <x:c r="AC36" s="499"/>
      <x:c r="AD36" s="499"/>
      <x:c r="AE36" s="499"/>
      <x:c r="AF36" s="499"/>
      <x:c r="AG36" s="499"/>
      <x:c r="AH36" s="499"/>
      <x:c r="AI36" s="499"/>
      <x:c r="AJ36" s="499"/>
      <x:c r="AK36" s="499"/>
      <x:c r="AL36" s="499"/>
      <x:c r="AM36" s="499"/>
      <x:c r="AN36" s="499"/>
      <x:c r="AO36" s="499"/>
      <x:c r="AP36" s="499"/>
      <x:c r="AQ36" s="499"/>
      <x:c r="AR36" s="499"/>
      <x:c r="AS36" s="499"/>
      <x:c r="AT36" s="499"/>
      <x:c r="AU36" s="499"/>
      <x:c r="AV36" s="499"/>
      <x:c r="AW36" s="499"/>
      <x:c r="AX36" s="499"/>
      <x:c r="AY36" s="499"/>
      <x:c r="AZ36" s="499"/>
      <x:c r="BA36" s="499"/>
      <x:c r="BB36" s="499"/>
      <x:c r="BC36" s="499"/>
      <x:c r="BD36" s="499"/>
      <x:c r="BE36" s="499"/>
      <x:c r="BF36" s="499"/>
      <x:c r="BG36" s="499"/>
      <x:c r="BH36" s="499"/>
      <x:c r="BI36" s="499"/>
      <x:c r="BJ36" s="499"/>
      <x:c r="BK36" s="499"/>
      <x:c r="BL36" s="499"/>
      <x:c r="BM36" s="499"/>
      <x:c r="BN36" s="499"/>
      <x:c r="BO36" s="499"/>
      <x:c r="BP36" s="499"/>
      <x:c r="BQ36" s="499"/>
      <x:c r="BR36" s="499"/>
      <x:c r="BS36" s="499"/>
      <x:c r="BT36" s="499"/>
      <x:c r="BU36" s="499"/>
      <x:c r="BV36" s="499"/>
      <x:c r="BW36" s="499"/>
      <x:c r="BX36" s="499"/>
      <x:c r="BY36" s="499"/>
      <x:c r="BZ36" s="499"/>
      <x:c r="CA36" s="499"/>
      <x:c r="CB36" s="499"/>
      <x:c r="CC36" s="499"/>
      <x:c r="CD36" s="499"/>
      <x:c r="CE36" s="499"/>
      <x:c r="CF36" s="499"/>
      <x:c r="CG36" s="499"/>
      <x:c r="CH36" s="499"/>
      <x:c r="CI36" s="499"/>
      <x:c r="CJ36" s="499"/>
      <x:c r="CK36" s="499"/>
      <x:c r="CL36" s="499"/>
      <x:c r="CM36" s="499"/>
      <x:c r="CN36" s="499"/>
      <x:c r="CO36" s="499"/>
      <x:c r="CP36" s="499"/>
      <x:c r="CQ36" s="499"/>
      <x:c r="CR36" s="499"/>
      <x:c r="CS36" s="499"/>
      <x:c r="CT36" s="499"/>
      <x:c r="CU36" s="499"/>
      <x:c r="CV36" s="499"/>
      <x:c r="CW36" s="499"/>
      <x:c r="CX36" s="499"/>
      <x:c r="CY36" s="499"/>
      <x:c r="CZ36" s="499"/>
      <x:c r="DA36" s="499"/>
      <x:c r="DB36" s="499"/>
      <x:c r="DC36" s="499"/>
      <x:c r="DD36" s="499"/>
      <x:c r="DE36" s="499"/>
      <x:c r="DF36" s="499"/>
      <x:c r="DG36" s="499"/>
      <x:c r="DH36" s="499"/>
      <x:c r="DI36" s="499"/>
      <x:c r="DJ36" s="499"/>
      <x:c r="DK36" s="499"/>
      <x:c r="DL36" s="499"/>
      <x:c r="DM36" s="499"/>
      <x:c r="DN36" s="499"/>
      <x:c r="DO36" s="499"/>
      <x:c r="DP36" s="499"/>
      <x:c r="DQ36" s="499"/>
      <x:c r="DR36" s="499"/>
      <x:c r="DS36" s="499"/>
      <x:c r="DT36" s="499"/>
      <x:c r="DU36" s="499"/>
      <x:c r="DV36" s="499"/>
      <x:c r="DW36" s="499"/>
      <x:c r="DX36" s="499"/>
      <x:c r="DY36" s="499"/>
      <x:c r="DZ36" s="499"/>
      <x:c r="EA36" s="499"/>
      <x:c r="EB36" s="499"/>
      <x:c r="EC36" s="499"/>
      <x:c r="ED36" s="499"/>
      <x:c r="EE36" s="499"/>
      <x:c r="EF36" s="499"/>
      <x:c r="EG36" s="499"/>
      <x:c r="EH36" s="499"/>
      <x:c r="EI36" s="499"/>
      <x:c r="EJ36" s="499"/>
      <x:c r="EK36" s="499"/>
      <x:c r="EL36" s="499"/>
      <x:c r="EM36" s="499"/>
      <x:c r="EN36" s="499"/>
      <x:c r="EO36" s="499"/>
      <x:c r="EP36" s="499"/>
      <x:c r="EQ36" s="499"/>
      <x:c r="ER36" s="499"/>
      <x:c r="ES36" s="499"/>
      <x:c r="ET36" s="499"/>
      <x:c r="EU36" s="499"/>
    </x:row>
    <x:row r="37" ht="22" customHeight="1">
      <x:c r="A37" s="492"/>
      <x:c r="B37" s="495"/>
      <x:c r="C37" s="495"/>
      <x:c r="D37" s="495"/>
      <x:c r="E37" s="495"/>
      <x:c r="F37" s="495"/>
      <x:c r="G37" s="495"/>
      <x:c r="H37" s="495"/>
      <x:c r="I37" s="495"/>
      <x:c r="J37" s="495"/>
      <x:c r="K37" s="495"/>
      <x:c r="L37" s="495"/>
      <x:c r="M37" s="495"/>
      <x:c r="N37" s="495"/>
      <x:c r="O37" s="495"/>
      <x:c r="P37" s="495"/>
      <x:c r="Q37" s="495"/>
      <x:c r="R37" s="495"/>
      <x:c r="S37" s="495"/>
      <x:c r="T37" s="495"/>
      <x:c r="U37" s="495"/>
      <x:c r="V37" s="495"/>
      <x:c r="W37" s="495"/>
      <x:c r="X37" s="495"/>
      <x:c r="Y37" s="495"/>
      <x:c r="Z37" s="495"/>
      <x:c r="AA37" s="495"/>
      <x:c r="AB37" s="495"/>
      <x:c r="AC37" s="495"/>
      <x:c r="AD37" s="495"/>
      <x:c r="AE37" s="495"/>
      <x:c r="AF37" s="495"/>
      <x:c r="AG37" s="495"/>
      <x:c r="AH37" s="495"/>
      <x:c r="AI37" s="495"/>
      <x:c r="AJ37" s="495"/>
      <x:c r="AK37" s="495"/>
      <x:c r="AL37" s="495"/>
      <x:c r="AM37" s="495"/>
      <x:c r="AN37" s="495"/>
      <x:c r="AO37" s="495"/>
      <x:c r="AP37" s="495"/>
      <x:c r="AQ37" s="495"/>
      <x:c r="AR37" s="495"/>
      <x:c r="AS37" s="495"/>
      <x:c r="AT37" s="495"/>
      <x:c r="AU37" s="495"/>
      <x:c r="AV37" s="495"/>
      <x:c r="AW37" s="495"/>
      <x:c r="AX37" s="495"/>
      <x:c r="AY37" s="495"/>
      <x:c r="AZ37" s="495"/>
      <x:c r="BA37" s="495"/>
      <x:c r="BB37" s="495"/>
      <x:c r="BC37" s="495"/>
      <x:c r="BD37" s="495"/>
      <x:c r="BE37" s="495"/>
      <x:c r="BF37" s="495"/>
      <x:c r="BG37" s="495"/>
      <x:c r="BH37" s="495"/>
      <x:c r="BI37" s="495"/>
      <x:c r="BJ37" s="495"/>
      <x:c r="BK37" s="495"/>
      <x:c r="BL37" s="495"/>
      <x:c r="BM37" s="495"/>
      <x:c r="BN37" s="495"/>
      <x:c r="BO37" s="495"/>
      <x:c r="BP37" s="495"/>
      <x:c r="BQ37" s="495"/>
      <x:c r="BR37" s="495"/>
      <x:c r="BS37" s="495"/>
      <x:c r="BT37" s="495"/>
      <x:c r="BU37" s="495"/>
      <x:c r="BV37" s="495"/>
      <x:c r="BW37" s="495"/>
      <x:c r="BX37" s="495"/>
      <x:c r="BY37" s="495"/>
      <x:c r="BZ37" s="495"/>
      <x:c r="CA37" s="495"/>
      <x:c r="CB37" s="495"/>
      <x:c r="CC37" s="495"/>
      <x:c r="CD37" s="495"/>
      <x:c r="CE37" s="495"/>
      <x:c r="CF37" s="495"/>
      <x:c r="CG37" s="495"/>
      <x:c r="CH37" s="495"/>
      <x:c r="CI37" s="495"/>
      <x:c r="CJ37" s="495"/>
      <x:c r="CK37" s="495"/>
      <x:c r="CL37" s="495"/>
      <x:c r="CM37" s="495"/>
      <x:c r="CN37" s="495"/>
      <x:c r="CO37" s="495"/>
      <x:c r="CP37" s="495"/>
      <x:c r="CQ37" s="495"/>
      <x:c r="CR37" s="495"/>
      <x:c r="CS37" s="495"/>
      <x:c r="CT37" s="495"/>
      <x:c r="CU37" s="495"/>
      <x:c r="CV37" s="495"/>
      <x:c r="CW37" s="495"/>
      <x:c r="CX37" s="495"/>
      <x:c r="CY37" s="495"/>
      <x:c r="CZ37" s="495"/>
      <x:c r="DA37" s="495"/>
      <x:c r="DB37" s="495"/>
      <x:c r="DC37" s="495"/>
      <x:c r="DD37" s="495"/>
      <x:c r="DE37" s="495"/>
      <x:c r="DF37" s="495"/>
      <x:c r="DG37" s="495"/>
      <x:c r="DH37" s="495"/>
      <x:c r="DI37" s="495"/>
      <x:c r="DJ37" s="495"/>
      <x:c r="DK37" s="495"/>
      <x:c r="DL37" s="495"/>
      <x:c r="DM37" s="495"/>
      <x:c r="DN37" s="495"/>
      <x:c r="DO37" s="495"/>
      <x:c r="DP37" s="495"/>
      <x:c r="DQ37" s="495"/>
      <x:c r="DR37" s="495"/>
      <x:c r="DS37" s="495"/>
      <x:c r="DT37" s="495"/>
      <x:c r="DU37" s="495"/>
      <x:c r="DV37" s="495"/>
      <x:c r="DW37" s="495"/>
      <x:c r="DX37" s="495"/>
      <x:c r="DY37" s="495"/>
      <x:c r="DZ37" s="495"/>
      <x:c r="EA37" s="495"/>
      <x:c r="EB37" s="495"/>
      <x:c r="EC37" s="495"/>
      <x:c r="ED37" s="495"/>
      <x:c r="EE37" s="495"/>
      <x:c r="EF37" s="495"/>
      <x:c r="EG37" s="495"/>
      <x:c r="EH37" s="495"/>
      <x:c r="EI37" s="495"/>
      <x:c r="EJ37" s="495"/>
      <x:c r="EK37" s="495"/>
      <x:c r="EL37" s="495"/>
      <x:c r="EM37" s="495"/>
      <x:c r="EN37" s="495"/>
      <x:c r="EO37" s="495"/>
      <x:c r="EP37" s="495"/>
      <x:c r="EQ37" s="495"/>
      <x:c r="ER37" s="495"/>
      <x:c r="ES37" s="495"/>
      <x:c r="ET37" s="495"/>
      <x:c r="EU37" s="495"/>
    </x:row>
    <x:row r="38" ht="22" customHeight="1">
      <x:c r="A38" s="496"/>
      <x:c r="B38" s="499"/>
      <x:c r="C38" s="499"/>
      <x:c r="D38" s="499"/>
      <x:c r="E38" s="499"/>
      <x:c r="F38" s="499"/>
      <x:c r="G38" s="499"/>
      <x:c r="H38" s="499"/>
      <x:c r="I38" s="499"/>
      <x:c r="J38" s="499"/>
      <x:c r="K38" s="499"/>
      <x:c r="L38" s="499"/>
      <x:c r="M38" s="499"/>
      <x:c r="N38" s="499"/>
      <x:c r="O38" s="499"/>
      <x:c r="P38" s="499"/>
      <x:c r="Q38" s="499"/>
      <x:c r="R38" s="499"/>
      <x:c r="S38" s="499"/>
      <x:c r="T38" s="499"/>
      <x:c r="U38" s="499"/>
      <x:c r="V38" s="499"/>
      <x:c r="W38" s="499"/>
      <x:c r="X38" s="499"/>
      <x:c r="Y38" s="499"/>
      <x:c r="Z38" s="499"/>
      <x:c r="AA38" s="499"/>
      <x:c r="AB38" s="499"/>
      <x:c r="AC38" s="499"/>
      <x:c r="AD38" s="499"/>
      <x:c r="AE38" s="499"/>
      <x:c r="AF38" s="499"/>
      <x:c r="AG38" s="499"/>
      <x:c r="AH38" s="499"/>
      <x:c r="AI38" s="499"/>
      <x:c r="AJ38" s="499"/>
      <x:c r="AK38" s="499"/>
      <x:c r="AL38" s="499"/>
      <x:c r="AM38" s="499"/>
      <x:c r="AN38" s="499"/>
      <x:c r="AO38" s="499"/>
      <x:c r="AP38" s="499"/>
      <x:c r="AQ38" s="499"/>
      <x:c r="AR38" s="499"/>
      <x:c r="AS38" s="499"/>
      <x:c r="AT38" s="499"/>
      <x:c r="AU38" s="499"/>
      <x:c r="AV38" s="499"/>
      <x:c r="AW38" s="499"/>
      <x:c r="AX38" s="499"/>
      <x:c r="AY38" s="499"/>
      <x:c r="AZ38" s="499"/>
      <x:c r="BA38" s="499"/>
      <x:c r="BB38" s="499"/>
      <x:c r="BC38" s="499"/>
      <x:c r="BD38" s="499"/>
      <x:c r="BE38" s="499"/>
      <x:c r="BF38" s="499"/>
      <x:c r="BG38" s="499"/>
      <x:c r="BH38" s="499"/>
      <x:c r="BI38" s="499"/>
      <x:c r="BJ38" s="499"/>
      <x:c r="BK38" s="499"/>
      <x:c r="BL38" s="499"/>
      <x:c r="BM38" s="499"/>
      <x:c r="BN38" s="499"/>
      <x:c r="BO38" s="499"/>
      <x:c r="BP38" s="499"/>
      <x:c r="BQ38" s="499"/>
      <x:c r="BR38" s="499"/>
      <x:c r="BS38" s="499"/>
      <x:c r="BT38" s="499"/>
      <x:c r="BU38" s="499"/>
      <x:c r="BV38" s="499"/>
      <x:c r="BW38" s="499"/>
      <x:c r="BX38" s="499"/>
      <x:c r="BY38" s="499"/>
      <x:c r="BZ38" s="499"/>
      <x:c r="CA38" s="499"/>
      <x:c r="CB38" s="499"/>
      <x:c r="CC38" s="499"/>
      <x:c r="CD38" s="499"/>
      <x:c r="CE38" s="499"/>
      <x:c r="CF38" s="499"/>
      <x:c r="CG38" s="499"/>
      <x:c r="CH38" s="499"/>
      <x:c r="CI38" s="499"/>
      <x:c r="CJ38" s="499"/>
      <x:c r="CK38" s="499"/>
      <x:c r="CL38" s="499"/>
      <x:c r="CM38" s="499"/>
      <x:c r="CN38" s="499"/>
      <x:c r="CO38" s="499"/>
      <x:c r="CP38" s="499"/>
      <x:c r="CQ38" s="499"/>
      <x:c r="CR38" s="499"/>
      <x:c r="CS38" s="499"/>
      <x:c r="CT38" s="499"/>
      <x:c r="CU38" s="499"/>
      <x:c r="CV38" s="499"/>
      <x:c r="CW38" s="499"/>
      <x:c r="CX38" s="499"/>
      <x:c r="CY38" s="499"/>
      <x:c r="CZ38" s="499"/>
      <x:c r="DA38" s="499"/>
      <x:c r="DB38" s="499"/>
      <x:c r="DC38" s="499"/>
      <x:c r="DD38" s="499"/>
      <x:c r="DE38" s="499"/>
      <x:c r="DF38" s="499"/>
      <x:c r="DG38" s="499"/>
      <x:c r="DH38" s="499"/>
      <x:c r="DI38" s="499"/>
      <x:c r="DJ38" s="499"/>
      <x:c r="DK38" s="499"/>
      <x:c r="DL38" s="499"/>
      <x:c r="DM38" s="499"/>
      <x:c r="DN38" s="499"/>
      <x:c r="DO38" s="499"/>
      <x:c r="DP38" s="499"/>
      <x:c r="DQ38" s="499"/>
      <x:c r="DR38" s="499"/>
      <x:c r="DS38" s="499"/>
      <x:c r="DT38" s="499"/>
      <x:c r="DU38" s="499"/>
      <x:c r="DV38" s="499"/>
      <x:c r="DW38" s="499"/>
      <x:c r="DX38" s="499"/>
      <x:c r="DY38" s="499"/>
      <x:c r="DZ38" s="499"/>
      <x:c r="EA38" s="499"/>
      <x:c r="EB38" s="499"/>
      <x:c r="EC38" s="499"/>
      <x:c r="ED38" s="499"/>
      <x:c r="EE38" s="499"/>
      <x:c r="EF38" s="499"/>
      <x:c r="EG38" s="499"/>
      <x:c r="EH38" s="499"/>
      <x:c r="EI38" s="499"/>
      <x:c r="EJ38" s="499"/>
      <x:c r="EK38" s="499"/>
      <x:c r="EL38" s="499"/>
      <x:c r="EM38" s="499"/>
      <x:c r="EN38" s="499"/>
      <x:c r="EO38" s="499"/>
      <x:c r="EP38" s="499"/>
      <x:c r="EQ38" s="499"/>
      <x:c r="ER38" s="499"/>
      <x:c r="ES38" s="499"/>
      <x:c r="ET38" s="499"/>
      <x:c r="EU38" s="499"/>
    </x:row>
    <x:row r="39" ht="22" customHeight="1">
      <x:c r="A39" s="492"/>
      <x:c r="B39" s="495"/>
      <x:c r="C39" s="495"/>
      <x:c r="D39" s="495"/>
      <x:c r="E39" s="495"/>
      <x:c r="F39" s="495"/>
      <x:c r="G39" s="495"/>
      <x:c r="H39" s="495"/>
      <x:c r="I39" s="495"/>
      <x:c r="J39" s="495"/>
      <x:c r="K39" s="495"/>
      <x:c r="L39" s="495"/>
      <x:c r="M39" s="495"/>
      <x:c r="N39" s="495"/>
      <x:c r="O39" s="495"/>
      <x:c r="P39" s="495"/>
      <x:c r="Q39" s="495"/>
      <x:c r="R39" s="495"/>
      <x:c r="S39" s="495"/>
      <x:c r="T39" s="495"/>
      <x:c r="U39" s="495"/>
      <x:c r="V39" s="495"/>
      <x:c r="W39" s="495"/>
      <x:c r="X39" s="495"/>
      <x:c r="Y39" s="495"/>
      <x:c r="Z39" s="495"/>
      <x:c r="AA39" s="495"/>
      <x:c r="AB39" s="495"/>
      <x:c r="AC39" s="495"/>
      <x:c r="AD39" s="495"/>
      <x:c r="AE39" s="495"/>
      <x:c r="AF39" s="495"/>
      <x:c r="AG39" s="495"/>
      <x:c r="AH39" s="495"/>
      <x:c r="AI39" s="495"/>
      <x:c r="AJ39" s="495"/>
      <x:c r="AK39" s="495"/>
      <x:c r="AL39" s="495"/>
      <x:c r="AM39" s="495"/>
      <x:c r="AN39" s="495"/>
      <x:c r="AO39" s="495"/>
      <x:c r="AP39" s="495"/>
      <x:c r="AQ39" s="495"/>
      <x:c r="AR39" s="495"/>
      <x:c r="AS39" s="495"/>
      <x:c r="AT39" s="495"/>
      <x:c r="AU39" s="495"/>
      <x:c r="AV39" s="495"/>
      <x:c r="AW39" s="495"/>
      <x:c r="AX39" s="495"/>
      <x:c r="AY39" s="495"/>
      <x:c r="AZ39" s="495"/>
      <x:c r="BA39" s="495"/>
      <x:c r="BB39" s="495"/>
      <x:c r="BC39" s="495"/>
      <x:c r="BD39" s="495"/>
      <x:c r="BE39" s="495"/>
      <x:c r="BF39" s="495"/>
      <x:c r="BG39" s="495"/>
      <x:c r="BH39" s="495"/>
      <x:c r="BI39" s="495"/>
      <x:c r="BJ39" s="495"/>
      <x:c r="BK39" s="495"/>
      <x:c r="BL39" s="495"/>
      <x:c r="BM39" s="495"/>
      <x:c r="BN39" s="495"/>
      <x:c r="BO39" s="495"/>
      <x:c r="BP39" s="495"/>
      <x:c r="BQ39" s="495"/>
      <x:c r="BR39" s="495"/>
      <x:c r="BS39" s="495"/>
      <x:c r="BT39" s="495"/>
      <x:c r="BU39" s="495"/>
      <x:c r="BV39" s="495"/>
      <x:c r="BW39" s="495"/>
      <x:c r="BX39" s="495"/>
      <x:c r="BY39" s="495"/>
      <x:c r="BZ39" s="495"/>
      <x:c r="CA39" s="495"/>
      <x:c r="CB39" s="495"/>
      <x:c r="CC39" s="495"/>
      <x:c r="CD39" s="495"/>
      <x:c r="CE39" s="495"/>
      <x:c r="CF39" s="495"/>
      <x:c r="CG39" s="495"/>
      <x:c r="CH39" s="495"/>
      <x:c r="CI39" s="495"/>
      <x:c r="CJ39" s="495"/>
      <x:c r="CK39" s="495"/>
      <x:c r="CL39" s="495"/>
      <x:c r="CM39" s="495"/>
      <x:c r="CN39" s="495"/>
      <x:c r="CO39" s="495"/>
      <x:c r="CP39" s="495"/>
      <x:c r="CQ39" s="495"/>
      <x:c r="CR39" s="495"/>
      <x:c r="CS39" s="495"/>
      <x:c r="CT39" s="495"/>
      <x:c r="CU39" s="495"/>
      <x:c r="CV39" s="495"/>
      <x:c r="CW39" s="495"/>
      <x:c r="CX39" s="495"/>
      <x:c r="CY39" s="495"/>
      <x:c r="CZ39" s="495"/>
      <x:c r="DA39" s="495"/>
      <x:c r="DB39" s="495"/>
      <x:c r="DC39" s="495"/>
      <x:c r="DD39" s="495"/>
      <x:c r="DE39" s="495"/>
      <x:c r="DF39" s="495"/>
      <x:c r="DG39" s="495"/>
      <x:c r="DH39" s="495"/>
      <x:c r="DI39" s="495"/>
      <x:c r="DJ39" s="495"/>
      <x:c r="DK39" s="495"/>
      <x:c r="DL39" s="495"/>
      <x:c r="DM39" s="495"/>
      <x:c r="DN39" s="495"/>
      <x:c r="DO39" s="495"/>
      <x:c r="DP39" s="495"/>
      <x:c r="DQ39" s="495"/>
      <x:c r="DR39" s="495"/>
      <x:c r="DS39" s="495"/>
      <x:c r="DT39" s="495"/>
      <x:c r="DU39" s="495"/>
      <x:c r="DV39" s="495"/>
      <x:c r="DW39" s="495"/>
      <x:c r="DX39" s="495"/>
      <x:c r="DY39" s="495"/>
      <x:c r="DZ39" s="495"/>
      <x:c r="EA39" s="495"/>
      <x:c r="EB39" s="495"/>
      <x:c r="EC39" s="495"/>
      <x:c r="ED39" s="495"/>
      <x:c r="EE39" s="495"/>
      <x:c r="EF39" s="495"/>
      <x:c r="EG39" s="495"/>
      <x:c r="EH39" s="495"/>
      <x:c r="EI39" s="495"/>
      <x:c r="EJ39" s="495"/>
      <x:c r="EK39" s="495"/>
      <x:c r="EL39" s="495"/>
      <x:c r="EM39" s="495"/>
      <x:c r="EN39" s="495"/>
      <x:c r="EO39" s="495"/>
      <x:c r="EP39" s="495"/>
      <x:c r="EQ39" s="495"/>
      <x:c r="ER39" s="495"/>
      <x:c r="ES39" s="495"/>
      <x:c r="ET39" s="495"/>
      <x:c r="EU39" s="495"/>
    </x:row>
    <x:row r="40" ht="22" customHeight="1">
      <x:c r="A40" s="496"/>
      <x:c r="B40" s="499"/>
      <x:c r="C40" s="499"/>
      <x:c r="D40" s="499"/>
      <x:c r="E40" s="499"/>
      <x:c r="F40" s="499"/>
      <x:c r="G40" s="499"/>
      <x:c r="H40" s="499"/>
      <x:c r="I40" s="499"/>
      <x:c r="J40" s="499"/>
      <x:c r="K40" s="499"/>
      <x:c r="L40" s="499"/>
      <x:c r="M40" s="499"/>
      <x:c r="N40" s="499"/>
      <x:c r="O40" s="499"/>
      <x:c r="P40" s="499"/>
      <x:c r="Q40" s="499"/>
      <x:c r="R40" s="499"/>
      <x:c r="S40" s="499"/>
      <x:c r="T40" s="499"/>
      <x:c r="U40" s="499"/>
      <x:c r="V40" s="499"/>
      <x:c r="W40" s="499"/>
      <x:c r="X40" s="499"/>
      <x:c r="Y40" s="499"/>
      <x:c r="Z40" s="499"/>
      <x:c r="AA40" s="499"/>
      <x:c r="AB40" s="499"/>
      <x:c r="AC40" s="499"/>
      <x:c r="AD40" s="499"/>
      <x:c r="AE40" s="499"/>
      <x:c r="AF40" s="499"/>
      <x:c r="AG40" s="499"/>
      <x:c r="AH40" s="499"/>
      <x:c r="AI40" s="499"/>
      <x:c r="AJ40" s="499"/>
      <x:c r="AK40" s="499"/>
      <x:c r="AL40" s="499"/>
      <x:c r="AM40" s="499"/>
      <x:c r="AN40" s="499"/>
      <x:c r="AO40" s="499"/>
      <x:c r="AP40" s="499"/>
      <x:c r="AQ40" s="499"/>
      <x:c r="AR40" s="499"/>
      <x:c r="AS40" s="499"/>
      <x:c r="AT40" s="499"/>
      <x:c r="AU40" s="499"/>
      <x:c r="AV40" s="499"/>
      <x:c r="AW40" s="499"/>
      <x:c r="AX40" s="499"/>
      <x:c r="AY40" s="499"/>
      <x:c r="AZ40" s="499"/>
      <x:c r="BA40" s="499"/>
      <x:c r="BB40" s="499"/>
      <x:c r="BC40" s="499"/>
      <x:c r="BD40" s="499"/>
      <x:c r="BE40" s="499"/>
      <x:c r="BF40" s="499"/>
      <x:c r="BG40" s="499"/>
      <x:c r="BH40" s="499"/>
      <x:c r="BI40" s="499"/>
      <x:c r="BJ40" s="499"/>
      <x:c r="BK40" s="499"/>
      <x:c r="BL40" s="499"/>
      <x:c r="BM40" s="499"/>
      <x:c r="BN40" s="499"/>
      <x:c r="BO40" s="499"/>
      <x:c r="BP40" s="499"/>
      <x:c r="BQ40" s="499"/>
      <x:c r="BR40" s="499"/>
      <x:c r="BS40" s="499"/>
      <x:c r="BT40" s="499"/>
      <x:c r="BU40" s="499"/>
      <x:c r="BV40" s="499"/>
      <x:c r="BW40" s="499"/>
      <x:c r="BX40" s="499"/>
      <x:c r="BY40" s="499"/>
      <x:c r="BZ40" s="499"/>
      <x:c r="CA40" s="499"/>
      <x:c r="CB40" s="499"/>
      <x:c r="CC40" s="499"/>
      <x:c r="CD40" s="499"/>
      <x:c r="CE40" s="499"/>
      <x:c r="CF40" s="499"/>
      <x:c r="CG40" s="499"/>
      <x:c r="CH40" s="499"/>
      <x:c r="CI40" s="499"/>
      <x:c r="CJ40" s="499"/>
      <x:c r="CK40" s="499"/>
      <x:c r="CL40" s="499"/>
      <x:c r="CM40" s="499"/>
      <x:c r="CN40" s="499"/>
      <x:c r="CO40" s="499"/>
      <x:c r="CP40" s="499"/>
      <x:c r="CQ40" s="499"/>
      <x:c r="CR40" s="499"/>
      <x:c r="CS40" s="499"/>
      <x:c r="CT40" s="499"/>
      <x:c r="CU40" s="499"/>
      <x:c r="CV40" s="499"/>
      <x:c r="CW40" s="499"/>
      <x:c r="CX40" s="499"/>
      <x:c r="CY40" s="499"/>
      <x:c r="CZ40" s="499"/>
      <x:c r="DA40" s="499"/>
      <x:c r="DB40" s="499"/>
      <x:c r="DC40" s="499"/>
      <x:c r="DD40" s="499"/>
      <x:c r="DE40" s="499"/>
      <x:c r="DF40" s="499"/>
      <x:c r="DG40" s="499"/>
      <x:c r="DH40" s="499"/>
      <x:c r="DI40" s="499"/>
      <x:c r="DJ40" s="499"/>
      <x:c r="DK40" s="499"/>
      <x:c r="DL40" s="499"/>
      <x:c r="DM40" s="499"/>
      <x:c r="DN40" s="499"/>
      <x:c r="DO40" s="499"/>
      <x:c r="DP40" s="499"/>
      <x:c r="DQ40" s="499"/>
      <x:c r="DR40" s="499"/>
      <x:c r="DS40" s="499"/>
      <x:c r="DT40" s="499"/>
      <x:c r="DU40" s="499"/>
      <x:c r="DV40" s="499"/>
      <x:c r="DW40" s="499"/>
      <x:c r="DX40" s="499"/>
      <x:c r="DY40" s="499"/>
      <x:c r="DZ40" s="499"/>
      <x:c r="EA40" s="499"/>
      <x:c r="EB40" s="499"/>
      <x:c r="EC40" s="499"/>
      <x:c r="ED40" s="499"/>
      <x:c r="EE40" s="499"/>
      <x:c r="EF40" s="499"/>
      <x:c r="EG40" s="499"/>
      <x:c r="EH40" s="499"/>
      <x:c r="EI40" s="499"/>
      <x:c r="EJ40" s="499"/>
      <x:c r="EK40" s="499"/>
      <x:c r="EL40" s="499"/>
      <x:c r="EM40" s="499"/>
      <x:c r="EN40" s="499"/>
      <x:c r="EO40" s="499"/>
      <x:c r="EP40" s="499"/>
      <x:c r="EQ40" s="499"/>
      <x:c r="ER40" s="499"/>
      <x:c r="ES40" s="499"/>
      <x:c r="ET40" s="499"/>
      <x:c r="EU40" s="499"/>
    </x:row>
    <x:row r="41" ht="22" customHeight="1">
      <x:c r="A41" s="492"/>
      <x:c r="B41" s="495"/>
      <x:c r="C41" s="495"/>
      <x:c r="D41" s="495"/>
      <x:c r="E41" s="495"/>
      <x:c r="F41" s="495"/>
      <x:c r="G41" s="495"/>
      <x:c r="H41" s="495"/>
      <x:c r="I41" s="495"/>
      <x:c r="J41" s="495"/>
      <x:c r="K41" s="495"/>
      <x:c r="L41" s="495"/>
      <x:c r="M41" s="495"/>
      <x:c r="N41" s="495"/>
      <x:c r="O41" s="495"/>
      <x:c r="P41" s="495"/>
      <x:c r="Q41" s="495"/>
      <x:c r="R41" s="495"/>
      <x:c r="S41" s="495"/>
      <x:c r="T41" s="495"/>
      <x:c r="U41" s="495"/>
      <x:c r="V41" s="495"/>
      <x:c r="W41" s="495"/>
      <x:c r="X41" s="495"/>
      <x:c r="Y41" s="495"/>
      <x:c r="Z41" s="495"/>
      <x:c r="AA41" s="495"/>
      <x:c r="AB41" s="495"/>
      <x:c r="AC41" s="495"/>
      <x:c r="AD41" s="495"/>
      <x:c r="AE41" s="495"/>
      <x:c r="AF41" s="495"/>
      <x:c r="AG41" s="495"/>
      <x:c r="AH41" s="495"/>
      <x:c r="AI41" s="495"/>
      <x:c r="AJ41" s="495"/>
      <x:c r="AK41" s="495"/>
      <x:c r="AL41" s="495"/>
      <x:c r="AM41" s="495"/>
      <x:c r="AN41" s="495"/>
      <x:c r="AO41" s="495"/>
      <x:c r="AP41" s="495"/>
      <x:c r="AQ41" s="495"/>
      <x:c r="AR41" s="495"/>
      <x:c r="AS41" s="495"/>
      <x:c r="AT41" s="495"/>
      <x:c r="AU41" s="495"/>
      <x:c r="AV41" s="495"/>
      <x:c r="AW41" s="495"/>
      <x:c r="AX41" s="495"/>
      <x:c r="AY41" s="495"/>
      <x:c r="AZ41" s="495"/>
      <x:c r="BA41" s="495"/>
      <x:c r="BB41" s="495"/>
      <x:c r="BC41" s="495"/>
      <x:c r="BD41" s="495"/>
      <x:c r="BE41" s="495"/>
      <x:c r="BF41" s="495"/>
      <x:c r="BG41" s="495"/>
      <x:c r="BH41" s="495"/>
      <x:c r="BI41" s="495"/>
      <x:c r="BJ41" s="495"/>
      <x:c r="BK41" s="495"/>
      <x:c r="BL41" s="495"/>
      <x:c r="BM41" s="495"/>
      <x:c r="BN41" s="495"/>
      <x:c r="BO41" s="495"/>
      <x:c r="BP41" s="495"/>
      <x:c r="BQ41" s="495"/>
      <x:c r="BR41" s="495"/>
      <x:c r="BS41" s="495"/>
      <x:c r="BT41" s="495"/>
      <x:c r="BU41" s="495"/>
      <x:c r="BV41" s="495"/>
      <x:c r="BW41" s="495"/>
      <x:c r="BX41" s="495"/>
      <x:c r="BY41" s="495"/>
      <x:c r="BZ41" s="495"/>
      <x:c r="CA41" s="495"/>
      <x:c r="CB41" s="495"/>
      <x:c r="CC41" s="495"/>
      <x:c r="CD41" s="495"/>
      <x:c r="CE41" s="495"/>
      <x:c r="CF41" s="495"/>
      <x:c r="CG41" s="495"/>
      <x:c r="CH41" s="495"/>
      <x:c r="CI41" s="495"/>
      <x:c r="CJ41" s="495"/>
      <x:c r="CK41" s="495"/>
      <x:c r="CL41" s="495"/>
      <x:c r="CM41" s="495"/>
      <x:c r="CN41" s="495"/>
      <x:c r="CO41" s="495"/>
      <x:c r="CP41" s="495"/>
      <x:c r="CQ41" s="495"/>
      <x:c r="CR41" s="495"/>
      <x:c r="CS41" s="495"/>
      <x:c r="CT41" s="495"/>
      <x:c r="CU41" s="495"/>
      <x:c r="CV41" s="495"/>
      <x:c r="CW41" s="495"/>
      <x:c r="CX41" s="495"/>
      <x:c r="CY41" s="495"/>
      <x:c r="CZ41" s="495"/>
      <x:c r="DA41" s="495"/>
      <x:c r="DB41" s="495"/>
      <x:c r="DC41" s="495"/>
      <x:c r="DD41" s="495"/>
      <x:c r="DE41" s="495"/>
      <x:c r="DF41" s="495"/>
      <x:c r="DG41" s="495"/>
      <x:c r="DH41" s="495"/>
      <x:c r="DI41" s="495"/>
      <x:c r="DJ41" s="495"/>
      <x:c r="DK41" s="495"/>
      <x:c r="DL41" s="495"/>
      <x:c r="DM41" s="495"/>
      <x:c r="DN41" s="495"/>
      <x:c r="DO41" s="495"/>
      <x:c r="DP41" s="495"/>
      <x:c r="DQ41" s="495"/>
      <x:c r="DR41" s="495"/>
      <x:c r="DS41" s="495"/>
      <x:c r="DT41" s="495"/>
      <x:c r="DU41" s="495"/>
      <x:c r="DV41" s="495"/>
      <x:c r="DW41" s="495"/>
      <x:c r="DX41" s="495"/>
      <x:c r="DY41" s="495"/>
      <x:c r="DZ41" s="495"/>
      <x:c r="EA41" s="495"/>
      <x:c r="EB41" s="495"/>
      <x:c r="EC41" s="495"/>
      <x:c r="ED41" s="495"/>
      <x:c r="EE41" s="495"/>
      <x:c r="EF41" s="495"/>
      <x:c r="EG41" s="495"/>
      <x:c r="EH41" s="495"/>
      <x:c r="EI41" s="495"/>
      <x:c r="EJ41" s="495"/>
      <x:c r="EK41" s="495"/>
      <x:c r="EL41" s="495"/>
      <x:c r="EM41" s="495"/>
      <x:c r="EN41" s="495"/>
      <x:c r="EO41" s="495"/>
      <x:c r="EP41" s="495"/>
      <x:c r="EQ41" s="495"/>
      <x:c r="ER41" s="495"/>
      <x:c r="ES41" s="495"/>
      <x:c r="ET41" s="495"/>
      <x:c r="EU41" s="495"/>
    </x:row>
    <x:row r="42" ht="22" customHeight="1">
      <x:c r="A42" s="496"/>
      <x:c r="B42" s="499"/>
      <x:c r="C42" s="499"/>
      <x:c r="D42" s="499"/>
      <x:c r="E42" s="499"/>
      <x:c r="F42" s="499"/>
      <x:c r="G42" s="499"/>
      <x:c r="H42" s="499"/>
      <x:c r="I42" s="499"/>
      <x:c r="J42" s="499"/>
      <x:c r="K42" s="499"/>
      <x:c r="L42" s="499"/>
      <x:c r="M42" s="499"/>
      <x:c r="N42" s="499"/>
      <x:c r="O42" s="499"/>
      <x:c r="P42" s="499"/>
      <x:c r="Q42" s="499"/>
      <x:c r="R42" s="499"/>
      <x:c r="S42" s="499"/>
      <x:c r="T42" s="499"/>
      <x:c r="U42" s="499"/>
      <x:c r="V42" s="499"/>
      <x:c r="W42" s="499"/>
      <x:c r="X42" s="499"/>
      <x:c r="Y42" s="499"/>
      <x:c r="Z42" s="499"/>
      <x:c r="AA42" s="499"/>
      <x:c r="AB42" s="499"/>
      <x:c r="AC42" s="499"/>
      <x:c r="AD42" s="499"/>
      <x:c r="AE42" s="499"/>
      <x:c r="AF42" s="499"/>
      <x:c r="AG42" s="499"/>
      <x:c r="AH42" s="499"/>
      <x:c r="AI42" s="499"/>
      <x:c r="AJ42" s="499"/>
      <x:c r="AK42" s="499"/>
      <x:c r="AL42" s="499"/>
      <x:c r="AM42" s="499"/>
      <x:c r="AN42" s="499"/>
      <x:c r="AO42" s="499"/>
      <x:c r="AP42" s="499"/>
      <x:c r="AQ42" s="499"/>
      <x:c r="AR42" s="499"/>
      <x:c r="AS42" s="499"/>
      <x:c r="AT42" s="499"/>
      <x:c r="AU42" s="499"/>
      <x:c r="AV42" s="499"/>
      <x:c r="AW42" s="499"/>
      <x:c r="AX42" s="499"/>
      <x:c r="AY42" s="499"/>
      <x:c r="AZ42" s="499"/>
      <x:c r="BA42" s="499"/>
      <x:c r="BB42" s="499"/>
      <x:c r="BC42" s="499"/>
      <x:c r="BD42" s="499"/>
      <x:c r="BE42" s="499"/>
      <x:c r="BF42" s="499"/>
      <x:c r="BG42" s="499"/>
      <x:c r="BH42" s="499"/>
      <x:c r="BI42" s="499"/>
      <x:c r="BJ42" s="499"/>
      <x:c r="BK42" s="499"/>
      <x:c r="BL42" s="499"/>
      <x:c r="BM42" s="499"/>
      <x:c r="BN42" s="499"/>
      <x:c r="BO42" s="499"/>
      <x:c r="BP42" s="499"/>
      <x:c r="BQ42" s="499"/>
      <x:c r="BR42" s="499"/>
      <x:c r="BS42" s="499"/>
      <x:c r="BT42" s="499"/>
      <x:c r="BU42" s="499"/>
      <x:c r="BV42" s="499"/>
      <x:c r="BW42" s="499"/>
      <x:c r="BX42" s="499"/>
      <x:c r="BY42" s="499"/>
      <x:c r="BZ42" s="499"/>
      <x:c r="CA42" s="499"/>
      <x:c r="CB42" s="499"/>
      <x:c r="CC42" s="499"/>
      <x:c r="CD42" s="499"/>
      <x:c r="CE42" s="499"/>
      <x:c r="CF42" s="499"/>
      <x:c r="CG42" s="499"/>
      <x:c r="CH42" s="499"/>
      <x:c r="CI42" s="499"/>
      <x:c r="CJ42" s="499"/>
      <x:c r="CK42" s="499"/>
      <x:c r="CL42" s="499"/>
      <x:c r="CM42" s="499"/>
      <x:c r="CN42" s="499"/>
      <x:c r="CO42" s="499"/>
      <x:c r="CP42" s="499"/>
      <x:c r="CQ42" s="499"/>
      <x:c r="CR42" s="499"/>
      <x:c r="CS42" s="499"/>
      <x:c r="CT42" s="499"/>
      <x:c r="CU42" s="499"/>
      <x:c r="CV42" s="499"/>
      <x:c r="CW42" s="499"/>
      <x:c r="CX42" s="499"/>
      <x:c r="CY42" s="499"/>
      <x:c r="CZ42" s="499"/>
      <x:c r="DA42" s="499"/>
      <x:c r="DB42" s="499"/>
      <x:c r="DC42" s="499"/>
      <x:c r="DD42" s="499"/>
      <x:c r="DE42" s="499"/>
      <x:c r="DF42" s="499"/>
      <x:c r="DG42" s="499"/>
      <x:c r="DH42" s="499"/>
      <x:c r="DI42" s="499"/>
      <x:c r="DJ42" s="499"/>
      <x:c r="DK42" s="499"/>
      <x:c r="DL42" s="499"/>
      <x:c r="DM42" s="499"/>
      <x:c r="DN42" s="499"/>
      <x:c r="DO42" s="499"/>
      <x:c r="DP42" s="499"/>
      <x:c r="DQ42" s="499"/>
      <x:c r="DR42" s="499"/>
      <x:c r="DS42" s="499"/>
      <x:c r="DT42" s="499"/>
      <x:c r="DU42" s="499"/>
      <x:c r="DV42" s="499"/>
      <x:c r="DW42" s="499"/>
      <x:c r="DX42" s="499"/>
      <x:c r="DY42" s="499"/>
      <x:c r="DZ42" s="499"/>
      <x:c r="EA42" s="499"/>
      <x:c r="EB42" s="499"/>
      <x:c r="EC42" s="499"/>
      <x:c r="ED42" s="499"/>
      <x:c r="EE42" s="499"/>
      <x:c r="EF42" s="499"/>
      <x:c r="EG42" s="499"/>
      <x:c r="EH42" s="499"/>
      <x:c r="EI42" s="499"/>
      <x:c r="EJ42" s="499"/>
      <x:c r="EK42" s="499"/>
      <x:c r="EL42" s="499"/>
      <x:c r="EM42" s="499"/>
      <x:c r="EN42" s="499"/>
      <x:c r="EO42" s="499"/>
      <x:c r="EP42" s="499"/>
      <x:c r="EQ42" s="499"/>
      <x:c r="ER42" s="499"/>
      <x:c r="ES42" s="499"/>
      <x:c r="ET42" s="499"/>
      <x:c r="EU42" s="499"/>
    </x:row>
    <x:row r="43" ht="22" customHeight="1">
      <x:c r="A43" s="492"/>
      <x:c r="B43" s="495"/>
      <x:c r="C43" s="495"/>
      <x:c r="D43" s="495"/>
      <x:c r="E43" s="495"/>
      <x:c r="F43" s="495"/>
      <x:c r="G43" s="495"/>
      <x:c r="H43" s="495"/>
      <x:c r="I43" s="495"/>
      <x:c r="J43" s="495"/>
      <x:c r="K43" s="495"/>
      <x:c r="L43" s="495"/>
      <x:c r="M43" s="495"/>
      <x:c r="N43" s="495"/>
      <x:c r="O43" s="495"/>
      <x:c r="P43" s="495"/>
      <x:c r="Q43" s="495"/>
      <x:c r="R43" s="495"/>
      <x:c r="S43" s="495"/>
      <x:c r="T43" s="495"/>
      <x:c r="U43" s="495"/>
      <x:c r="V43" s="495"/>
      <x:c r="W43" s="495"/>
      <x:c r="X43" s="495"/>
      <x:c r="Y43" s="495"/>
      <x:c r="Z43" s="495"/>
      <x:c r="AA43" s="495"/>
      <x:c r="AB43" s="495"/>
      <x:c r="AC43" s="495"/>
      <x:c r="AD43" s="495"/>
      <x:c r="AE43" s="495"/>
      <x:c r="AF43" s="495"/>
      <x:c r="AG43" s="495"/>
      <x:c r="AH43" s="495"/>
      <x:c r="AI43" s="495"/>
      <x:c r="AJ43" s="495"/>
      <x:c r="AK43" s="495"/>
      <x:c r="AL43" s="495"/>
      <x:c r="AM43" s="495"/>
      <x:c r="AN43" s="495"/>
      <x:c r="AO43" s="495"/>
      <x:c r="AP43" s="495"/>
      <x:c r="AQ43" s="495"/>
      <x:c r="AR43" s="495"/>
      <x:c r="AS43" s="495"/>
      <x:c r="AT43" s="495"/>
      <x:c r="AU43" s="495"/>
      <x:c r="AV43" s="495"/>
      <x:c r="AW43" s="495"/>
      <x:c r="AX43" s="495"/>
      <x:c r="AY43" s="495"/>
      <x:c r="AZ43" s="495"/>
      <x:c r="BA43" s="495"/>
      <x:c r="BB43" s="495"/>
      <x:c r="BC43" s="495"/>
      <x:c r="BD43" s="495"/>
      <x:c r="BE43" s="495"/>
      <x:c r="BF43" s="495"/>
      <x:c r="BG43" s="495"/>
      <x:c r="BH43" s="495"/>
      <x:c r="BI43" s="495"/>
      <x:c r="BJ43" s="495"/>
      <x:c r="BK43" s="495"/>
      <x:c r="BL43" s="495"/>
      <x:c r="BM43" s="495"/>
      <x:c r="BN43" s="495"/>
      <x:c r="BO43" s="495"/>
      <x:c r="BP43" s="495"/>
      <x:c r="BQ43" s="495"/>
      <x:c r="BR43" s="495"/>
      <x:c r="BS43" s="495"/>
      <x:c r="BT43" s="495"/>
      <x:c r="BU43" s="495"/>
      <x:c r="BV43" s="495"/>
      <x:c r="BW43" s="495"/>
      <x:c r="BX43" s="495"/>
      <x:c r="BY43" s="495"/>
      <x:c r="BZ43" s="495"/>
      <x:c r="CA43" s="495"/>
      <x:c r="CB43" s="495"/>
      <x:c r="CC43" s="495"/>
      <x:c r="CD43" s="495"/>
      <x:c r="CE43" s="495"/>
      <x:c r="CF43" s="495"/>
      <x:c r="CG43" s="495"/>
      <x:c r="CH43" s="495"/>
      <x:c r="CI43" s="495"/>
      <x:c r="CJ43" s="495"/>
      <x:c r="CK43" s="495"/>
      <x:c r="CL43" s="495"/>
      <x:c r="CM43" s="495"/>
      <x:c r="CN43" s="495"/>
      <x:c r="CO43" s="495"/>
      <x:c r="CP43" s="495"/>
      <x:c r="CQ43" s="495"/>
      <x:c r="CR43" s="495"/>
      <x:c r="CS43" s="495"/>
      <x:c r="CT43" s="495"/>
      <x:c r="CU43" s="495"/>
      <x:c r="CV43" s="495"/>
      <x:c r="CW43" s="495"/>
      <x:c r="CX43" s="495"/>
      <x:c r="CY43" s="495"/>
      <x:c r="CZ43" s="495"/>
      <x:c r="DA43" s="495"/>
      <x:c r="DB43" s="495"/>
      <x:c r="DC43" s="495"/>
      <x:c r="DD43" s="495"/>
      <x:c r="DE43" s="495"/>
      <x:c r="DF43" s="495"/>
      <x:c r="DG43" s="495"/>
      <x:c r="DH43" s="495"/>
      <x:c r="DI43" s="495"/>
      <x:c r="DJ43" s="495"/>
      <x:c r="DK43" s="495"/>
      <x:c r="DL43" s="495"/>
      <x:c r="DM43" s="495"/>
      <x:c r="DN43" s="495"/>
      <x:c r="DO43" s="495"/>
      <x:c r="DP43" s="495"/>
      <x:c r="DQ43" s="495"/>
      <x:c r="DR43" s="495"/>
      <x:c r="DS43" s="495"/>
      <x:c r="DT43" s="495"/>
      <x:c r="DU43" s="495"/>
      <x:c r="DV43" s="495"/>
      <x:c r="DW43" s="495"/>
      <x:c r="DX43" s="495"/>
      <x:c r="DY43" s="495"/>
      <x:c r="DZ43" s="495"/>
      <x:c r="EA43" s="495"/>
      <x:c r="EB43" s="495"/>
      <x:c r="EC43" s="495"/>
      <x:c r="ED43" s="495"/>
      <x:c r="EE43" s="495"/>
      <x:c r="EF43" s="495"/>
      <x:c r="EG43" s="495"/>
      <x:c r="EH43" s="495"/>
      <x:c r="EI43" s="495"/>
      <x:c r="EJ43" s="495"/>
      <x:c r="EK43" s="495"/>
      <x:c r="EL43" s="495"/>
      <x:c r="EM43" s="495"/>
      <x:c r="EN43" s="495"/>
      <x:c r="EO43" s="495"/>
      <x:c r="EP43" s="495"/>
      <x:c r="EQ43" s="495"/>
      <x:c r="ER43" s="495"/>
      <x:c r="ES43" s="495"/>
      <x:c r="ET43" s="495"/>
      <x:c r="EU43" s="495"/>
    </x:row>
    <x:row r="44" ht="22" customHeight="1">
      <x:c r="A44" s="496"/>
      <x:c r="B44" s="499"/>
      <x:c r="C44" s="499"/>
      <x:c r="D44" s="499"/>
      <x:c r="E44" s="499"/>
      <x:c r="F44" s="499"/>
      <x:c r="G44" s="499"/>
      <x:c r="H44" s="499"/>
      <x:c r="I44" s="499"/>
      <x:c r="J44" s="499"/>
      <x:c r="K44" s="499"/>
      <x:c r="L44" s="499"/>
      <x:c r="M44" s="499"/>
      <x:c r="N44" s="499"/>
      <x:c r="O44" s="499"/>
      <x:c r="P44" s="499"/>
      <x:c r="Q44" s="499"/>
      <x:c r="R44" s="499"/>
      <x:c r="S44" s="499"/>
      <x:c r="T44" s="499"/>
      <x:c r="U44" s="499"/>
      <x:c r="V44" s="499"/>
      <x:c r="W44" s="499"/>
      <x:c r="X44" s="499"/>
      <x:c r="Y44" s="499"/>
      <x:c r="Z44" s="499"/>
      <x:c r="AA44" s="499"/>
      <x:c r="AB44" s="499"/>
      <x:c r="AC44" s="499"/>
      <x:c r="AD44" s="499"/>
      <x:c r="AE44" s="499"/>
      <x:c r="AF44" s="499"/>
      <x:c r="AG44" s="499"/>
      <x:c r="AH44" s="499"/>
      <x:c r="AI44" s="499"/>
      <x:c r="AJ44" s="499"/>
      <x:c r="AK44" s="499"/>
      <x:c r="AL44" s="499"/>
      <x:c r="AM44" s="499"/>
      <x:c r="AN44" s="499"/>
      <x:c r="AO44" s="499"/>
      <x:c r="AP44" s="499"/>
      <x:c r="AQ44" s="499"/>
      <x:c r="AR44" s="499"/>
      <x:c r="AS44" s="499"/>
      <x:c r="AT44" s="499"/>
      <x:c r="AU44" s="499"/>
      <x:c r="AV44" s="499"/>
      <x:c r="AW44" s="499"/>
      <x:c r="AX44" s="499"/>
      <x:c r="AY44" s="499"/>
      <x:c r="AZ44" s="499"/>
      <x:c r="BA44" s="499"/>
      <x:c r="BB44" s="499"/>
      <x:c r="BC44" s="499"/>
      <x:c r="BD44" s="499"/>
      <x:c r="BE44" s="499"/>
      <x:c r="BF44" s="499"/>
      <x:c r="BG44" s="499"/>
      <x:c r="BH44" s="499"/>
      <x:c r="BI44" s="499"/>
      <x:c r="BJ44" s="499"/>
      <x:c r="BK44" s="499"/>
      <x:c r="BL44" s="499"/>
      <x:c r="BM44" s="499"/>
      <x:c r="BN44" s="499"/>
      <x:c r="BO44" s="499"/>
      <x:c r="BP44" s="499"/>
      <x:c r="BQ44" s="499"/>
      <x:c r="BR44" s="499"/>
      <x:c r="BS44" s="499"/>
      <x:c r="BT44" s="499"/>
      <x:c r="BU44" s="499"/>
      <x:c r="BV44" s="499"/>
      <x:c r="BW44" s="499"/>
      <x:c r="BX44" s="499"/>
      <x:c r="BY44" s="499"/>
      <x:c r="BZ44" s="499"/>
      <x:c r="CA44" s="499"/>
      <x:c r="CB44" s="499"/>
      <x:c r="CC44" s="499"/>
      <x:c r="CD44" s="499"/>
      <x:c r="CE44" s="499"/>
      <x:c r="CF44" s="499"/>
      <x:c r="CG44" s="499"/>
      <x:c r="CH44" s="499"/>
      <x:c r="CI44" s="499"/>
      <x:c r="CJ44" s="499"/>
      <x:c r="CK44" s="499"/>
      <x:c r="CL44" s="499"/>
      <x:c r="CM44" s="499"/>
      <x:c r="CN44" s="499"/>
      <x:c r="CO44" s="499"/>
      <x:c r="CP44" s="499"/>
      <x:c r="CQ44" s="499"/>
      <x:c r="CR44" s="499"/>
      <x:c r="CS44" s="499"/>
      <x:c r="CT44" s="499"/>
      <x:c r="CU44" s="499"/>
      <x:c r="CV44" s="499"/>
      <x:c r="CW44" s="499"/>
      <x:c r="CX44" s="499"/>
      <x:c r="CY44" s="499"/>
      <x:c r="CZ44" s="499"/>
      <x:c r="DA44" s="499"/>
      <x:c r="DB44" s="499"/>
      <x:c r="DC44" s="499"/>
      <x:c r="DD44" s="499"/>
      <x:c r="DE44" s="499"/>
      <x:c r="DF44" s="499"/>
      <x:c r="DG44" s="499"/>
      <x:c r="DH44" s="499"/>
      <x:c r="DI44" s="499"/>
      <x:c r="DJ44" s="499"/>
      <x:c r="DK44" s="499"/>
      <x:c r="DL44" s="499"/>
      <x:c r="DM44" s="499"/>
      <x:c r="DN44" s="499"/>
      <x:c r="DO44" s="499"/>
      <x:c r="DP44" s="499"/>
      <x:c r="DQ44" s="499"/>
      <x:c r="DR44" s="499"/>
      <x:c r="DS44" s="499"/>
      <x:c r="DT44" s="499"/>
      <x:c r="DU44" s="499"/>
      <x:c r="DV44" s="499"/>
      <x:c r="DW44" s="499"/>
      <x:c r="DX44" s="499"/>
      <x:c r="DY44" s="499"/>
      <x:c r="DZ44" s="499"/>
      <x:c r="EA44" s="499"/>
      <x:c r="EB44" s="499"/>
      <x:c r="EC44" s="499"/>
      <x:c r="ED44" s="499"/>
      <x:c r="EE44" s="499"/>
      <x:c r="EF44" s="499"/>
      <x:c r="EG44" s="499"/>
      <x:c r="EH44" s="499"/>
      <x:c r="EI44" s="499"/>
      <x:c r="EJ44" s="499"/>
      <x:c r="EK44" s="499"/>
      <x:c r="EL44" s="499"/>
      <x:c r="EM44" s="499"/>
      <x:c r="EN44" s="499"/>
      <x:c r="EO44" s="499"/>
      <x:c r="EP44" s="499"/>
      <x:c r="EQ44" s="499"/>
      <x:c r="ER44" s="499"/>
      <x:c r="ES44" s="499"/>
      <x:c r="ET44" s="499"/>
      <x:c r="EU44" s="499"/>
    </x:row>
    <x:row r="45" ht="22" customHeight="1">
      <x:c r="A45" s="492"/>
      <x:c r="B45" s="495"/>
      <x:c r="C45" s="495"/>
      <x:c r="D45" s="495"/>
      <x:c r="E45" s="495"/>
      <x:c r="F45" s="495"/>
      <x:c r="G45" s="495"/>
      <x:c r="H45" s="495"/>
      <x:c r="I45" s="495"/>
      <x:c r="J45" s="495"/>
      <x:c r="K45" s="495"/>
      <x:c r="L45" s="495"/>
      <x:c r="M45" s="495"/>
      <x:c r="N45" s="495"/>
      <x:c r="O45" s="495"/>
      <x:c r="P45" s="495"/>
      <x:c r="Q45" s="495"/>
      <x:c r="R45" s="495"/>
      <x:c r="S45" s="495"/>
      <x:c r="T45" s="495"/>
      <x:c r="U45" s="495"/>
      <x:c r="V45" s="495"/>
      <x:c r="W45" s="495"/>
      <x:c r="X45" s="495"/>
      <x:c r="Y45" s="495"/>
      <x:c r="Z45" s="495"/>
      <x:c r="AA45" s="495"/>
      <x:c r="AB45" s="495"/>
      <x:c r="AC45" s="495"/>
      <x:c r="AD45" s="495"/>
      <x:c r="AE45" s="495"/>
      <x:c r="AF45" s="495"/>
      <x:c r="AG45" s="495"/>
      <x:c r="AH45" s="495"/>
      <x:c r="AI45" s="495"/>
      <x:c r="AJ45" s="495"/>
      <x:c r="AK45" s="495"/>
      <x:c r="AL45" s="495"/>
      <x:c r="AM45" s="495"/>
      <x:c r="AN45" s="495"/>
      <x:c r="AO45" s="495"/>
      <x:c r="AP45" s="495"/>
      <x:c r="AQ45" s="495"/>
      <x:c r="AR45" s="495"/>
      <x:c r="AS45" s="495"/>
      <x:c r="AT45" s="495"/>
      <x:c r="AU45" s="495"/>
      <x:c r="AV45" s="495"/>
      <x:c r="AW45" s="495"/>
      <x:c r="AX45" s="495"/>
      <x:c r="AY45" s="495"/>
      <x:c r="AZ45" s="495"/>
      <x:c r="BA45" s="495"/>
      <x:c r="BB45" s="495"/>
      <x:c r="BC45" s="495"/>
      <x:c r="BD45" s="495"/>
      <x:c r="BE45" s="495"/>
      <x:c r="BF45" s="495"/>
      <x:c r="BG45" s="495"/>
      <x:c r="BH45" s="495"/>
      <x:c r="BI45" s="495"/>
      <x:c r="BJ45" s="495"/>
      <x:c r="BK45" s="495"/>
      <x:c r="BL45" s="495"/>
      <x:c r="BM45" s="495"/>
      <x:c r="BN45" s="495"/>
      <x:c r="BO45" s="495"/>
      <x:c r="BP45" s="495"/>
      <x:c r="BQ45" s="495"/>
      <x:c r="BR45" s="495"/>
      <x:c r="BS45" s="495"/>
      <x:c r="BT45" s="495"/>
      <x:c r="BU45" s="495"/>
      <x:c r="BV45" s="495"/>
      <x:c r="BW45" s="495"/>
      <x:c r="BX45" s="495"/>
      <x:c r="BY45" s="495"/>
      <x:c r="BZ45" s="495"/>
      <x:c r="CA45" s="495"/>
      <x:c r="CB45" s="495"/>
      <x:c r="CC45" s="495"/>
      <x:c r="CD45" s="495"/>
      <x:c r="CE45" s="495"/>
      <x:c r="CF45" s="495"/>
      <x:c r="CG45" s="495"/>
      <x:c r="CH45" s="495"/>
      <x:c r="CI45" s="495"/>
      <x:c r="CJ45" s="495"/>
      <x:c r="CK45" s="495"/>
      <x:c r="CL45" s="495"/>
      <x:c r="CM45" s="495"/>
      <x:c r="CN45" s="495"/>
      <x:c r="CO45" s="495"/>
      <x:c r="CP45" s="495"/>
      <x:c r="CQ45" s="495"/>
      <x:c r="CR45" s="495"/>
      <x:c r="CS45" s="495"/>
      <x:c r="CT45" s="495"/>
      <x:c r="CU45" s="495"/>
      <x:c r="CV45" s="495"/>
      <x:c r="CW45" s="495"/>
      <x:c r="CX45" s="495"/>
      <x:c r="CY45" s="495"/>
      <x:c r="CZ45" s="495"/>
      <x:c r="DA45" s="495"/>
      <x:c r="DB45" s="495"/>
      <x:c r="DC45" s="495"/>
      <x:c r="DD45" s="495"/>
      <x:c r="DE45" s="495"/>
      <x:c r="DF45" s="495"/>
      <x:c r="DG45" s="495"/>
      <x:c r="DH45" s="495"/>
      <x:c r="DI45" s="495"/>
      <x:c r="DJ45" s="495"/>
      <x:c r="DK45" s="495"/>
      <x:c r="DL45" s="495"/>
      <x:c r="DM45" s="495"/>
      <x:c r="DN45" s="495"/>
      <x:c r="DO45" s="495"/>
      <x:c r="DP45" s="495"/>
      <x:c r="DQ45" s="495"/>
      <x:c r="DR45" s="495"/>
      <x:c r="DS45" s="495"/>
      <x:c r="DT45" s="495"/>
      <x:c r="DU45" s="495"/>
      <x:c r="DV45" s="495"/>
      <x:c r="DW45" s="495"/>
      <x:c r="DX45" s="495"/>
      <x:c r="DY45" s="495"/>
      <x:c r="DZ45" s="495"/>
      <x:c r="EA45" s="495"/>
      <x:c r="EB45" s="495"/>
      <x:c r="EC45" s="495"/>
      <x:c r="ED45" s="495"/>
      <x:c r="EE45" s="495"/>
      <x:c r="EF45" s="495"/>
      <x:c r="EG45" s="495"/>
      <x:c r="EH45" s="495"/>
      <x:c r="EI45" s="495"/>
      <x:c r="EJ45" s="495"/>
      <x:c r="EK45" s="495"/>
      <x:c r="EL45" s="495"/>
      <x:c r="EM45" s="495"/>
      <x:c r="EN45" s="495"/>
      <x:c r="EO45" s="495"/>
      <x:c r="EP45" s="495"/>
      <x:c r="EQ45" s="495"/>
      <x:c r="ER45" s="495"/>
      <x:c r="ES45" s="495"/>
      <x:c r="ET45" s="495"/>
      <x:c r="EU45" s="495"/>
    </x:row>
    <x:row r="46" ht="22" customHeight="1">
      <x:c r="A46" s="496"/>
      <x:c r="B46" s="499"/>
      <x:c r="C46" s="499"/>
      <x:c r="D46" s="499"/>
      <x:c r="E46" s="499"/>
      <x:c r="F46" s="499"/>
      <x:c r="G46" s="499"/>
      <x:c r="H46" s="499"/>
      <x:c r="I46" s="499"/>
      <x:c r="J46" s="499"/>
      <x:c r="K46" s="499"/>
      <x:c r="L46" s="499"/>
      <x:c r="M46" s="499"/>
      <x:c r="N46" s="499"/>
      <x:c r="O46" s="499"/>
      <x:c r="P46" s="499"/>
      <x:c r="Q46" s="499"/>
      <x:c r="R46" s="499"/>
      <x:c r="S46" s="499"/>
      <x:c r="T46" s="499"/>
      <x:c r="U46" s="499"/>
      <x:c r="V46" s="499"/>
      <x:c r="W46" s="499"/>
      <x:c r="X46" s="499"/>
      <x:c r="Y46" s="499"/>
      <x:c r="Z46" s="499"/>
      <x:c r="AA46" s="499"/>
      <x:c r="AB46" s="499"/>
      <x:c r="AC46" s="499"/>
      <x:c r="AD46" s="499"/>
      <x:c r="AE46" s="499"/>
      <x:c r="AF46" s="499"/>
      <x:c r="AG46" s="499"/>
      <x:c r="AH46" s="499"/>
      <x:c r="AI46" s="499"/>
      <x:c r="AJ46" s="499"/>
      <x:c r="AK46" s="499"/>
      <x:c r="AL46" s="499"/>
      <x:c r="AM46" s="499"/>
      <x:c r="AN46" s="499"/>
      <x:c r="AO46" s="499"/>
      <x:c r="AP46" s="499"/>
      <x:c r="AQ46" s="499"/>
      <x:c r="AR46" s="499"/>
      <x:c r="AS46" s="499"/>
      <x:c r="AT46" s="499"/>
      <x:c r="AU46" s="499"/>
      <x:c r="AV46" s="499"/>
      <x:c r="AW46" s="499"/>
      <x:c r="AX46" s="499"/>
      <x:c r="AY46" s="499"/>
      <x:c r="AZ46" s="499"/>
      <x:c r="BA46" s="499"/>
      <x:c r="BB46" s="499"/>
      <x:c r="BC46" s="499"/>
      <x:c r="BD46" s="499"/>
      <x:c r="BE46" s="499"/>
      <x:c r="BF46" s="499"/>
      <x:c r="BG46" s="499"/>
      <x:c r="BH46" s="499"/>
      <x:c r="BI46" s="499"/>
      <x:c r="BJ46" s="499"/>
      <x:c r="BK46" s="499"/>
      <x:c r="BL46" s="499"/>
      <x:c r="BM46" s="499"/>
      <x:c r="BN46" s="499"/>
      <x:c r="BO46" s="499"/>
      <x:c r="BP46" s="499"/>
      <x:c r="BQ46" s="499"/>
      <x:c r="BR46" s="499"/>
      <x:c r="BS46" s="499"/>
      <x:c r="BT46" s="499"/>
      <x:c r="BU46" s="499"/>
      <x:c r="BV46" s="499"/>
      <x:c r="BW46" s="499"/>
      <x:c r="BX46" s="499"/>
      <x:c r="BY46" s="499"/>
      <x:c r="BZ46" s="499"/>
      <x:c r="CA46" s="499"/>
      <x:c r="CB46" s="499"/>
      <x:c r="CC46" s="499"/>
      <x:c r="CD46" s="499"/>
      <x:c r="CE46" s="499"/>
      <x:c r="CF46" s="499"/>
      <x:c r="CG46" s="499"/>
      <x:c r="CH46" s="499"/>
      <x:c r="CI46" s="499"/>
      <x:c r="CJ46" s="499"/>
      <x:c r="CK46" s="499"/>
      <x:c r="CL46" s="499"/>
      <x:c r="CM46" s="499"/>
      <x:c r="CN46" s="499"/>
      <x:c r="CO46" s="499"/>
      <x:c r="CP46" s="499"/>
      <x:c r="CQ46" s="499"/>
      <x:c r="CR46" s="499"/>
      <x:c r="CS46" s="499"/>
      <x:c r="CT46" s="499"/>
      <x:c r="CU46" s="499"/>
      <x:c r="CV46" s="499"/>
      <x:c r="CW46" s="499"/>
      <x:c r="CX46" s="499"/>
      <x:c r="CY46" s="499"/>
      <x:c r="CZ46" s="499"/>
      <x:c r="DA46" s="499"/>
      <x:c r="DB46" s="499"/>
      <x:c r="DC46" s="499"/>
      <x:c r="DD46" s="499"/>
      <x:c r="DE46" s="499"/>
      <x:c r="DF46" s="499"/>
      <x:c r="DG46" s="499"/>
      <x:c r="DH46" s="499"/>
      <x:c r="DI46" s="499"/>
      <x:c r="DJ46" s="499"/>
      <x:c r="DK46" s="499"/>
      <x:c r="DL46" s="499"/>
      <x:c r="DM46" s="499"/>
      <x:c r="DN46" s="499"/>
      <x:c r="DO46" s="499"/>
      <x:c r="DP46" s="499"/>
      <x:c r="DQ46" s="499"/>
      <x:c r="DR46" s="499"/>
      <x:c r="DS46" s="499"/>
      <x:c r="DT46" s="499"/>
      <x:c r="DU46" s="499"/>
      <x:c r="DV46" s="499"/>
      <x:c r="DW46" s="499"/>
      <x:c r="DX46" s="499"/>
      <x:c r="DY46" s="499"/>
      <x:c r="DZ46" s="499"/>
      <x:c r="EA46" s="499"/>
      <x:c r="EB46" s="499"/>
      <x:c r="EC46" s="499"/>
      <x:c r="ED46" s="499"/>
      <x:c r="EE46" s="499"/>
      <x:c r="EF46" s="499"/>
      <x:c r="EG46" s="499"/>
      <x:c r="EH46" s="499"/>
      <x:c r="EI46" s="499"/>
      <x:c r="EJ46" s="499"/>
      <x:c r="EK46" s="499"/>
      <x:c r="EL46" s="499"/>
      <x:c r="EM46" s="499"/>
      <x:c r="EN46" s="499"/>
      <x:c r="EO46" s="499"/>
      <x:c r="EP46" s="499"/>
      <x:c r="EQ46" s="499"/>
      <x:c r="ER46" s="499"/>
      <x:c r="ES46" s="499"/>
      <x:c r="ET46" s="499"/>
      <x:c r="EU46" s="499"/>
    </x:row>
    <x:row r="47" ht="22" customHeight="1">
      <x:c r="A47" s="492"/>
      <x:c r="B47" s="495"/>
      <x:c r="C47" s="495"/>
      <x:c r="D47" s="495"/>
      <x:c r="E47" s="495"/>
      <x:c r="F47" s="495"/>
      <x:c r="G47" s="495"/>
      <x:c r="H47" s="495"/>
      <x:c r="I47" s="495"/>
      <x:c r="J47" s="495"/>
      <x:c r="K47" s="495"/>
      <x:c r="L47" s="495"/>
      <x:c r="M47" s="495"/>
      <x:c r="N47" s="495"/>
      <x:c r="O47" s="495"/>
      <x:c r="P47" s="495"/>
      <x:c r="Q47" s="495"/>
      <x:c r="R47" s="495"/>
      <x:c r="S47" s="495"/>
      <x:c r="T47" s="495"/>
      <x:c r="U47" s="495"/>
      <x:c r="V47" s="495"/>
      <x:c r="W47" s="495"/>
      <x:c r="X47" s="495"/>
      <x:c r="Y47" s="495"/>
      <x:c r="Z47" s="495"/>
      <x:c r="AA47" s="495"/>
      <x:c r="AB47" s="495"/>
      <x:c r="AC47" s="495"/>
      <x:c r="AD47" s="495"/>
      <x:c r="AE47" s="495"/>
      <x:c r="AF47" s="495"/>
      <x:c r="AG47" s="495"/>
      <x:c r="AH47" s="495"/>
      <x:c r="AI47" s="495"/>
      <x:c r="AJ47" s="495"/>
      <x:c r="AK47" s="495"/>
      <x:c r="AL47" s="495"/>
      <x:c r="AM47" s="495"/>
      <x:c r="AN47" s="495"/>
      <x:c r="AO47" s="495"/>
      <x:c r="AP47" s="495"/>
      <x:c r="AQ47" s="495"/>
      <x:c r="AR47" s="495"/>
      <x:c r="AS47" s="495"/>
      <x:c r="AT47" s="495"/>
      <x:c r="AU47" s="495"/>
      <x:c r="AV47" s="495"/>
      <x:c r="AW47" s="495"/>
      <x:c r="AX47" s="495"/>
      <x:c r="AY47" s="495"/>
      <x:c r="AZ47" s="495"/>
      <x:c r="BA47" s="495"/>
      <x:c r="BB47" s="495"/>
      <x:c r="BC47" s="495"/>
      <x:c r="BD47" s="495"/>
      <x:c r="BE47" s="495"/>
      <x:c r="BF47" s="495"/>
      <x:c r="BG47" s="495"/>
      <x:c r="BH47" s="495"/>
      <x:c r="BI47" s="495"/>
      <x:c r="BJ47" s="495"/>
      <x:c r="BK47" s="495"/>
      <x:c r="BL47" s="495"/>
      <x:c r="BM47" s="495"/>
      <x:c r="BN47" s="495"/>
      <x:c r="BO47" s="495"/>
      <x:c r="BP47" s="495"/>
      <x:c r="BQ47" s="495"/>
      <x:c r="BR47" s="495"/>
      <x:c r="BS47" s="495"/>
      <x:c r="BT47" s="495"/>
      <x:c r="BU47" s="495"/>
      <x:c r="BV47" s="495"/>
      <x:c r="BW47" s="495"/>
      <x:c r="BX47" s="495"/>
      <x:c r="BY47" s="495"/>
      <x:c r="BZ47" s="495"/>
      <x:c r="CA47" s="495"/>
      <x:c r="CB47" s="495"/>
      <x:c r="CC47" s="495"/>
      <x:c r="CD47" s="495"/>
      <x:c r="CE47" s="495"/>
      <x:c r="CF47" s="495"/>
      <x:c r="CG47" s="495"/>
      <x:c r="CH47" s="495"/>
      <x:c r="CI47" s="495"/>
      <x:c r="CJ47" s="495"/>
      <x:c r="CK47" s="495"/>
      <x:c r="CL47" s="495"/>
      <x:c r="CM47" s="495"/>
      <x:c r="CN47" s="495"/>
      <x:c r="CO47" s="495"/>
      <x:c r="CP47" s="495"/>
      <x:c r="CQ47" s="495"/>
      <x:c r="CR47" s="495"/>
      <x:c r="CS47" s="495"/>
      <x:c r="CT47" s="495"/>
      <x:c r="CU47" s="495"/>
      <x:c r="CV47" s="495"/>
      <x:c r="CW47" s="495"/>
      <x:c r="CX47" s="495"/>
      <x:c r="CY47" s="495"/>
      <x:c r="CZ47" s="495"/>
      <x:c r="DA47" s="495"/>
      <x:c r="DB47" s="495"/>
      <x:c r="DC47" s="495"/>
      <x:c r="DD47" s="495"/>
      <x:c r="DE47" s="495"/>
      <x:c r="DF47" s="495"/>
      <x:c r="DG47" s="495"/>
      <x:c r="DH47" s="495"/>
      <x:c r="DI47" s="495"/>
      <x:c r="DJ47" s="495"/>
      <x:c r="DK47" s="495"/>
      <x:c r="DL47" s="495"/>
      <x:c r="DM47" s="495"/>
      <x:c r="DN47" s="495"/>
      <x:c r="DO47" s="495"/>
      <x:c r="DP47" s="495"/>
      <x:c r="DQ47" s="495"/>
      <x:c r="DR47" s="495"/>
      <x:c r="DS47" s="495"/>
      <x:c r="DT47" s="495"/>
      <x:c r="DU47" s="495"/>
      <x:c r="DV47" s="495"/>
      <x:c r="DW47" s="495"/>
      <x:c r="DX47" s="495"/>
      <x:c r="DY47" s="495"/>
      <x:c r="DZ47" s="495"/>
      <x:c r="EA47" s="495"/>
      <x:c r="EB47" s="495"/>
      <x:c r="EC47" s="495"/>
      <x:c r="ED47" s="495"/>
      <x:c r="EE47" s="495"/>
      <x:c r="EF47" s="495"/>
      <x:c r="EG47" s="495"/>
      <x:c r="EH47" s="495"/>
      <x:c r="EI47" s="495"/>
      <x:c r="EJ47" s="495"/>
      <x:c r="EK47" s="495"/>
      <x:c r="EL47" s="495"/>
      <x:c r="EM47" s="495"/>
      <x:c r="EN47" s="495"/>
      <x:c r="EO47" s="495"/>
      <x:c r="EP47" s="495"/>
      <x:c r="EQ47" s="495"/>
      <x:c r="ER47" s="495"/>
      <x:c r="ES47" s="495"/>
      <x:c r="ET47" s="495"/>
      <x:c r="EU47" s="495"/>
    </x:row>
    <x:row r="48" ht="22" customHeight="1">
      <x:c r="A48" s="496"/>
      <x:c r="B48" s="499"/>
      <x:c r="C48" s="499"/>
      <x:c r="D48" s="499"/>
      <x:c r="E48" s="499"/>
      <x:c r="F48" s="499"/>
      <x:c r="G48" s="499"/>
      <x:c r="H48" s="499"/>
      <x:c r="I48" s="499"/>
      <x:c r="J48" s="499"/>
      <x:c r="K48" s="499"/>
      <x:c r="L48" s="499"/>
      <x:c r="M48" s="499"/>
      <x:c r="N48" s="499"/>
      <x:c r="O48" s="499"/>
      <x:c r="P48" s="499"/>
      <x:c r="Q48" s="499"/>
      <x:c r="R48" s="499"/>
      <x:c r="S48" s="499"/>
      <x:c r="T48" s="499"/>
      <x:c r="U48" s="499"/>
      <x:c r="V48" s="499"/>
      <x:c r="W48" s="499"/>
      <x:c r="X48" s="499"/>
      <x:c r="Y48" s="499"/>
      <x:c r="Z48" s="499"/>
      <x:c r="AA48" s="499"/>
      <x:c r="AB48" s="499"/>
      <x:c r="AC48" s="499"/>
      <x:c r="AD48" s="499"/>
      <x:c r="AE48" s="499"/>
      <x:c r="AF48" s="499"/>
      <x:c r="AG48" s="499"/>
      <x:c r="AH48" s="499"/>
      <x:c r="AI48" s="499"/>
      <x:c r="AJ48" s="499"/>
      <x:c r="AK48" s="499"/>
      <x:c r="AL48" s="499"/>
      <x:c r="AM48" s="499"/>
      <x:c r="AN48" s="499"/>
      <x:c r="AO48" s="499"/>
      <x:c r="AP48" s="499"/>
      <x:c r="AQ48" s="499"/>
      <x:c r="AR48" s="499"/>
      <x:c r="AS48" s="499"/>
      <x:c r="AT48" s="499"/>
      <x:c r="AU48" s="499"/>
      <x:c r="AV48" s="499"/>
      <x:c r="AW48" s="499"/>
      <x:c r="AX48" s="499"/>
      <x:c r="AY48" s="499"/>
      <x:c r="AZ48" s="499"/>
      <x:c r="BA48" s="499"/>
      <x:c r="BB48" s="499"/>
      <x:c r="BC48" s="499"/>
      <x:c r="BD48" s="499"/>
      <x:c r="BE48" s="499"/>
      <x:c r="BF48" s="499"/>
      <x:c r="BG48" s="499"/>
      <x:c r="BH48" s="499"/>
      <x:c r="BI48" s="499"/>
      <x:c r="BJ48" s="499"/>
      <x:c r="BK48" s="499"/>
      <x:c r="BL48" s="499"/>
      <x:c r="BM48" s="499"/>
      <x:c r="BN48" s="499"/>
      <x:c r="BO48" s="499"/>
      <x:c r="BP48" s="499"/>
      <x:c r="BQ48" s="499"/>
      <x:c r="BR48" s="499"/>
      <x:c r="BS48" s="499"/>
      <x:c r="BT48" s="499"/>
      <x:c r="BU48" s="499"/>
      <x:c r="BV48" s="499"/>
      <x:c r="BW48" s="499"/>
      <x:c r="BX48" s="499"/>
      <x:c r="BY48" s="499"/>
      <x:c r="BZ48" s="499"/>
      <x:c r="CA48" s="499"/>
      <x:c r="CB48" s="499"/>
      <x:c r="CC48" s="499"/>
      <x:c r="CD48" s="499"/>
      <x:c r="CE48" s="499"/>
      <x:c r="CF48" s="499"/>
      <x:c r="CG48" s="499"/>
      <x:c r="CH48" s="499"/>
      <x:c r="CI48" s="499"/>
      <x:c r="CJ48" s="499"/>
      <x:c r="CK48" s="499"/>
      <x:c r="CL48" s="499"/>
      <x:c r="CM48" s="499"/>
      <x:c r="CN48" s="499"/>
      <x:c r="CO48" s="499"/>
      <x:c r="CP48" s="499"/>
      <x:c r="CQ48" s="499"/>
      <x:c r="CR48" s="499"/>
      <x:c r="CS48" s="499"/>
      <x:c r="CT48" s="499"/>
      <x:c r="CU48" s="499"/>
      <x:c r="CV48" s="499"/>
      <x:c r="CW48" s="499"/>
      <x:c r="CX48" s="499"/>
      <x:c r="CY48" s="499"/>
      <x:c r="CZ48" s="499"/>
      <x:c r="DA48" s="499"/>
      <x:c r="DB48" s="499"/>
      <x:c r="DC48" s="499"/>
      <x:c r="DD48" s="499"/>
      <x:c r="DE48" s="499"/>
      <x:c r="DF48" s="499"/>
      <x:c r="DG48" s="499"/>
      <x:c r="DH48" s="499"/>
      <x:c r="DI48" s="499"/>
      <x:c r="DJ48" s="499"/>
      <x:c r="DK48" s="499"/>
      <x:c r="DL48" s="499"/>
      <x:c r="DM48" s="499"/>
      <x:c r="DN48" s="499"/>
      <x:c r="DO48" s="499"/>
      <x:c r="DP48" s="499"/>
      <x:c r="DQ48" s="499"/>
      <x:c r="DR48" s="499"/>
      <x:c r="DS48" s="499"/>
      <x:c r="DT48" s="499"/>
      <x:c r="DU48" s="499"/>
      <x:c r="DV48" s="499"/>
      <x:c r="DW48" s="499"/>
      <x:c r="DX48" s="499"/>
      <x:c r="DY48" s="499"/>
      <x:c r="DZ48" s="499"/>
      <x:c r="EA48" s="499"/>
      <x:c r="EB48" s="499"/>
      <x:c r="EC48" s="499"/>
      <x:c r="ED48" s="499"/>
      <x:c r="EE48" s="499"/>
      <x:c r="EF48" s="499"/>
      <x:c r="EG48" s="499"/>
      <x:c r="EH48" s="499"/>
      <x:c r="EI48" s="499"/>
      <x:c r="EJ48" s="499"/>
      <x:c r="EK48" s="499"/>
      <x:c r="EL48" s="499"/>
      <x:c r="EM48" s="499"/>
      <x:c r="EN48" s="499"/>
      <x:c r="EO48" s="499"/>
      <x:c r="EP48" s="499"/>
      <x:c r="EQ48" s="499"/>
      <x:c r="ER48" s="499"/>
      <x:c r="ES48" s="499"/>
      <x:c r="ET48" s="499"/>
      <x:c r="EU48" s="499"/>
    </x:row>
    <x:row r="49" ht="22" customHeight="1">
      <x:c r="A49" s="492"/>
      <x:c r="B49" s="495"/>
      <x:c r="C49" s="495"/>
      <x:c r="D49" s="495"/>
      <x:c r="E49" s="495"/>
      <x:c r="F49" s="495"/>
      <x:c r="G49" s="495"/>
      <x:c r="H49" s="495"/>
      <x:c r="I49" s="495"/>
      <x:c r="J49" s="495"/>
      <x:c r="K49" s="495"/>
      <x:c r="L49" s="495"/>
      <x:c r="M49" s="495"/>
      <x:c r="N49" s="495"/>
      <x:c r="O49" s="495"/>
      <x:c r="P49" s="495"/>
      <x:c r="Q49" s="495"/>
      <x:c r="R49" s="495"/>
      <x:c r="S49" s="495"/>
      <x:c r="T49" s="495"/>
      <x:c r="U49" s="495"/>
      <x:c r="V49" s="495"/>
      <x:c r="W49" s="495"/>
      <x:c r="X49" s="495"/>
      <x:c r="Y49" s="495"/>
      <x:c r="Z49" s="495"/>
      <x:c r="AA49" s="495"/>
      <x:c r="AB49" s="495"/>
      <x:c r="AC49" s="495"/>
      <x:c r="AD49" s="495"/>
      <x:c r="AE49" s="495"/>
      <x:c r="AF49" s="495"/>
      <x:c r="AG49" s="495"/>
      <x:c r="AH49" s="495"/>
      <x:c r="AI49" s="495"/>
      <x:c r="AJ49" s="495"/>
      <x:c r="AK49" s="495"/>
      <x:c r="AL49" s="495"/>
      <x:c r="AM49" s="495"/>
      <x:c r="AN49" s="495"/>
      <x:c r="AO49" s="495"/>
      <x:c r="AP49" s="495"/>
      <x:c r="AQ49" s="495"/>
      <x:c r="AR49" s="495"/>
      <x:c r="AS49" s="495"/>
      <x:c r="AT49" s="495"/>
      <x:c r="AU49" s="495"/>
      <x:c r="AV49" s="495"/>
      <x:c r="AW49" s="495"/>
      <x:c r="AX49" s="495"/>
      <x:c r="AY49" s="495"/>
      <x:c r="AZ49" s="495"/>
      <x:c r="BA49" s="495"/>
      <x:c r="BB49" s="495"/>
      <x:c r="BC49" s="495"/>
      <x:c r="BD49" s="495"/>
      <x:c r="BE49" s="495"/>
      <x:c r="BF49" s="495"/>
      <x:c r="BG49" s="495"/>
      <x:c r="BH49" s="495"/>
      <x:c r="BI49" s="495"/>
      <x:c r="BJ49" s="495"/>
      <x:c r="BK49" s="495"/>
      <x:c r="BL49" s="495"/>
      <x:c r="BM49" s="495"/>
      <x:c r="BN49" s="495"/>
      <x:c r="BO49" s="495"/>
      <x:c r="BP49" s="495"/>
      <x:c r="BQ49" s="495"/>
      <x:c r="BR49" s="495"/>
      <x:c r="BS49" s="495"/>
      <x:c r="BT49" s="495"/>
      <x:c r="BU49" s="495"/>
      <x:c r="BV49" s="495"/>
      <x:c r="BW49" s="495"/>
      <x:c r="BX49" s="495"/>
      <x:c r="BY49" s="495"/>
      <x:c r="BZ49" s="495"/>
      <x:c r="CA49" s="495"/>
      <x:c r="CB49" s="495"/>
      <x:c r="CC49" s="495"/>
      <x:c r="CD49" s="495"/>
      <x:c r="CE49" s="495"/>
      <x:c r="CF49" s="495"/>
      <x:c r="CG49" s="495"/>
      <x:c r="CH49" s="495"/>
      <x:c r="CI49" s="495"/>
      <x:c r="CJ49" s="495"/>
      <x:c r="CK49" s="495"/>
      <x:c r="CL49" s="495"/>
      <x:c r="CM49" s="495"/>
      <x:c r="CN49" s="495"/>
      <x:c r="CO49" s="495"/>
      <x:c r="CP49" s="495"/>
      <x:c r="CQ49" s="495"/>
      <x:c r="CR49" s="495"/>
      <x:c r="CS49" s="495"/>
      <x:c r="CT49" s="495"/>
      <x:c r="CU49" s="495"/>
      <x:c r="CV49" s="495"/>
      <x:c r="CW49" s="495"/>
      <x:c r="CX49" s="495"/>
      <x:c r="CY49" s="495"/>
      <x:c r="CZ49" s="495"/>
      <x:c r="DA49" s="495"/>
      <x:c r="DB49" s="495"/>
      <x:c r="DC49" s="495"/>
      <x:c r="DD49" s="495"/>
      <x:c r="DE49" s="495"/>
      <x:c r="DF49" s="495"/>
      <x:c r="DG49" s="495"/>
      <x:c r="DH49" s="495"/>
      <x:c r="DI49" s="495"/>
      <x:c r="DJ49" s="495"/>
      <x:c r="DK49" s="495"/>
      <x:c r="DL49" s="495"/>
      <x:c r="DM49" s="495"/>
      <x:c r="DN49" s="495"/>
      <x:c r="DO49" s="495"/>
      <x:c r="DP49" s="495"/>
      <x:c r="DQ49" s="495"/>
      <x:c r="DR49" s="495"/>
      <x:c r="DS49" s="495"/>
      <x:c r="DT49" s="495"/>
      <x:c r="DU49" s="495"/>
      <x:c r="DV49" s="495"/>
      <x:c r="DW49" s="495"/>
      <x:c r="DX49" s="495"/>
      <x:c r="DY49" s="495"/>
      <x:c r="DZ49" s="495"/>
      <x:c r="EA49" s="495"/>
      <x:c r="EB49" s="495"/>
      <x:c r="EC49" s="495"/>
      <x:c r="ED49" s="495"/>
      <x:c r="EE49" s="495"/>
      <x:c r="EF49" s="495"/>
      <x:c r="EG49" s="495"/>
      <x:c r="EH49" s="495"/>
      <x:c r="EI49" s="495"/>
      <x:c r="EJ49" s="495"/>
      <x:c r="EK49" s="495"/>
      <x:c r="EL49" s="495"/>
      <x:c r="EM49" s="495"/>
      <x:c r="EN49" s="495"/>
      <x:c r="EO49" s="495"/>
      <x:c r="EP49" s="495"/>
      <x:c r="EQ49" s="495"/>
      <x:c r="ER49" s="495"/>
      <x:c r="ES49" s="495"/>
      <x:c r="ET49" s="495"/>
      <x:c r="EU49" s="495"/>
    </x:row>
    <x:row r="50" ht="22" customHeight="1">
      <x:c r="A50" s="496"/>
      <x:c r="B50" s="499"/>
      <x:c r="C50" s="499"/>
      <x:c r="D50" s="499"/>
      <x:c r="E50" s="499"/>
      <x:c r="F50" s="499"/>
      <x:c r="G50" s="499"/>
      <x:c r="H50" s="499"/>
      <x:c r="I50" s="499"/>
      <x:c r="J50" s="499"/>
      <x:c r="K50" s="499"/>
      <x:c r="L50" s="499"/>
      <x:c r="M50" s="499"/>
      <x:c r="N50" s="499"/>
      <x:c r="O50" s="499"/>
      <x:c r="P50" s="499"/>
      <x:c r="Q50" s="499"/>
      <x:c r="R50" s="499"/>
      <x:c r="S50" s="499"/>
      <x:c r="T50" s="499"/>
      <x:c r="U50" s="499"/>
      <x:c r="V50" s="499"/>
      <x:c r="W50" s="499"/>
      <x:c r="X50" s="499"/>
      <x:c r="Y50" s="499"/>
      <x:c r="Z50" s="499"/>
      <x:c r="AA50" s="499"/>
      <x:c r="AB50" s="499"/>
      <x:c r="AC50" s="499"/>
      <x:c r="AD50" s="499"/>
      <x:c r="AE50" s="499"/>
      <x:c r="AF50" s="499"/>
      <x:c r="AG50" s="499"/>
      <x:c r="AH50" s="499"/>
      <x:c r="AI50" s="499"/>
      <x:c r="AJ50" s="499"/>
      <x:c r="AK50" s="499"/>
      <x:c r="AL50" s="499"/>
      <x:c r="AM50" s="499"/>
      <x:c r="AN50" s="499"/>
      <x:c r="AO50" s="499"/>
      <x:c r="AP50" s="499"/>
      <x:c r="AQ50" s="499"/>
      <x:c r="AR50" s="499"/>
      <x:c r="AS50" s="499"/>
      <x:c r="AT50" s="499"/>
      <x:c r="AU50" s="499"/>
      <x:c r="AV50" s="499"/>
      <x:c r="AW50" s="499"/>
      <x:c r="AX50" s="499"/>
      <x:c r="AY50" s="499"/>
      <x:c r="AZ50" s="499"/>
      <x:c r="BA50" s="499"/>
      <x:c r="BB50" s="499"/>
      <x:c r="BC50" s="499"/>
      <x:c r="BD50" s="499"/>
      <x:c r="BE50" s="499"/>
      <x:c r="BF50" s="499"/>
      <x:c r="BG50" s="499"/>
      <x:c r="BH50" s="499"/>
      <x:c r="BI50" s="499"/>
      <x:c r="BJ50" s="499"/>
      <x:c r="BK50" s="499"/>
      <x:c r="BL50" s="499"/>
      <x:c r="BM50" s="499"/>
      <x:c r="BN50" s="499"/>
      <x:c r="BO50" s="499"/>
      <x:c r="BP50" s="499"/>
      <x:c r="BQ50" s="499"/>
      <x:c r="BR50" s="499"/>
      <x:c r="BS50" s="499"/>
      <x:c r="BT50" s="499"/>
      <x:c r="BU50" s="499"/>
      <x:c r="BV50" s="499"/>
      <x:c r="BW50" s="499"/>
      <x:c r="BX50" s="499"/>
      <x:c r="BY50" s="499"/>
      <x:c r="BZ50" s="499"/>
      <x:c r="CA50" s="499"/>
      <x:c r="CB50" s="499"/>
      <x:c r="CC50" s="499"/>
      <x:c r="CD50" s="499"/>
      <x:c r="CE50" s="499"/>
      <x:c r="CF50" s="499"/>
      <x:c r="CG50" s="499"/>
      <x:c r="CH50" s="499"/>
      <x:c r="CI50" s="499"/>
      <x:c r="CJ50" s="499"/>
      <x:c r="CK50" s="499"/>
      <x:c r="CL50" s="499"/>
      <x:c r="CM50" s="499"/>
      <x:c r="CN50" s="499"/>
      <x:c r="CO50" s="499"/>
      <x:c r="CP50" s="499"/>
      <x:c r="CQ50" s="499"/>
      <x:c r="CR50" s="499"/>
      <x:c r="CS50" s="499"/>
      <x:c r="CT50" s="499"/>
      <x:c r="CU50" s="499"/>
      <x:c r="CV50" s="499"/>
      <x:c r="CW50" s="499"/>
      <x:c r="CX50" s="499"/>
      <x:c r="CY50" s="499"/>
      <x:c r="CZ50" s="499"/>
      <x:c r="DA50" s="499"/>
      <x:c r="DB50" s="499"/>
      <x:c r="DC50" s="499"/>
      <x:c r="DD50" s="499"/>
      <x:c r="DE50" s="499"/>
      <x:c r="DF50" s="499"/>
      <x:c r="DG50" s="499"/>
      <x:c r="DH50" s="499"/>
      <x:c r="DI50" s="499"/>
      <x:c r="DJ50" s="499"/>
      <x:c r="DK50" s="499"/>
      <x:c r="DL50" s="499"/>
      <x:c r="DM50" s="499"/>
      <x:c r="DN50" s="499"/>
      <x:c r="DO50" s="499"/>
      <x:c r="DP50" s="499"/>
      <x:c r="DQ50" s="499"/>
      <x:c r="DR50" s="499"/>
      <x:c r="DS50" s="499"/>
      <x:c r="DT50" s="499"/>
      <x:c r="DU50" s="499"/>
      <x:c r="DV50" s="499"/>
      <x:c r="DW50" s="499"/>
      <x:c r="DX50" s="499"/>
      <x:c r="DY50" s="499"/>
      <x:c r="DZ50" s="499"/>
      <x:c r="EA50" s="499"/>
      <x:c r="EB50" s="499"/>
      <x:c r="EC50" s="499"/>
      <x:c r="ED50" s="499"/>
      <x:c r="EE50" s="499"/>
      <x:c r="EF50" s="499"/>
      <x:c r="EG50" s="499"/>
      <x:c r="EH50" s="499"/>
      <x:c r="EI50" s="499"/>
      <x:c r="EJ50" s="499"/>
      <x:c r="EK50" s="499"/>
      <x:c r="EL50" s="499"/>
      <x:c r="EM50" s="499"/>
      <x:c r="EN50" s="499"/>
      <x:c r="EO50" s="499"/>
      <x:c r="EP50" s="499"/>
      <x:c r="EQ50" s="499"/>
      <x:c r="ER50" s="499"/>
      <x:c r="ES50" s="499"/>
      <x:c r="ET50" s="499"/>
      <x:c r="EU50" s="499"/>
    </x:row>
    <x:row r="51" ht="22" customHeight="1">
      <x:c r="A51" s="492"/>
      <x:c r="B51" s="495"/>
      <x:c r="C51" s="495"/>
      <x:c r="D51" s="495"/>
      <x:c r="E51" s="495"/>
      <x:c r="F51" s="495"/>
      <x:c r="G51" s="495"/>
      <x:c r="H51" s="495"/>
      <x:c r="I51" s="495"/>
      <x:c r="J51" s="495"/>
      <x:c r="K51" s="495"/>
      <x:c r="L51" s="495"/>
      <x:c r="M51" s="495"/>
      <x:c r="N51" s="495"/>
      <x:c r="O51" s="495"/>
      <x:c r="P51" s="495"/>
      <x:c r="Q51" s="495"/>
      <x:c r="R51" s="495"/>
      <x:c r="S51" s="495"/>
      <x:c r="T51" s="495"/>
      <x:c r="U51" s="495"/>
      <x:c r="V51" s="495"/>
      <x:c r="W51" s="495"/>
      <x:c r="X51" s="495"/>
      <x:c r="Y51" s="495"/>
      <x:c r="Z51" s="495"/>
      <x:c r="AA51" s="495"/>
      <x:c r="AB51" s="495"/>
      <x:c r="AC51" s="495"/>
      <x:c r="AD51" s="495"/>
      <x:c r="AE51" s="495"/>
      <x:c r="AF51" s="495"/>
      <x:c r="AG51" s="495"/>
      <x:c r="AH51" s="495"/>
      <x:c r="AI51" s="495"/>
      <x:c r="AJ51" s="495"/>
      <x:c r="AK51" s="495"/>
      <x:c r="AL51" s="495"/>
      <x:c r="AM51" s="495"/>
      <x:c r="AN51" s="495"/>
      <x:c r="AO51" s="495"/>
      <x:c r="AP51" s="495"/>
      <x:c r="AQ51" s="495"/>
      <x:c r="AR51" s="495"/>
      <x:c r="AS51" s="495"/>
      <x:c r="AT51" s="495"/>
      <x:c r="AU51" s="495"/>
      <x:c r="AV51" s="495"/>
      <x:c r="AW51" s="495"/>
      <x:c r="AX51" s="495"/>
      <x:c r="AY51" s="495"/>
      <x:c r="AZ51" s="495"/>
      <x:c r="BA51" s="495"/>
      <x:c r="BB51" s="495"/>
      <x:c r="BC51" s="495"/>
      <x:c r="BD51" s="495"/>
      <x:c r="BE51" s="495"/>
      <x:c r="BF51" s="495"/>
      <x:c r="BG51" s="495"/>
      <x:c r="BH51" s="495"/>
      <x:c r="BI51" s="495"/>
      <x:c r="BJ51" s="495"/>
      <x:c r="BK51" s="495"/>
      <x:c r="BL51" s="495"/>
      <x:c r="BM51" s="495"/>
      <x:c r="BN51" s="495"/>
      <x:c r="BO51" s="495"/>
      <x:c r="BP51" s="495"/>
      <x:c r="BQ51" s="495"/>
      <x:c r="BR51" s="495"/>
      <x:c r="BS51" s="495"/>
      <x:c r="BT51" s="495"/>
      <x:c r="BU51" s="495"/>
      <x:c r="BV51" s="495"/>
      <x:c r="BW51" s="495"/>
      <x:c r="BX51" s="495"/>
      <x:c r="BY51" s="495"/>
      <x:c r="BZ51" s="495"/>
      <x:c r="CA51" s="495"/>
      <x:c r="CB51" s="495"/>
      <x:c r="CC51" s="495"/>
      <x:c r="CD51" s="495"/>
      <x:c r="CE51" s="495"/>
      <x:c r="CF51" s="495"/>
      <x:c r="CG51" s="495"/>
      <x:c r="CH51" s="495"/>
      <x:c r="CI51" s="495"/>
      <x:c r="CJ51" s="495"/>
      <x:c r="CK51" s="495"/>
      <x:c r="CL51" s="495"/>
      <x:c r="CM51" s="495"/>
      <x:c r="CN51" s="495"/>
      <x:c r="CO51" s="495"/>
      <x:c r="CP51" s="495"/>
      <x:c r="CQ51" s="495"/>
      <x:c r="CR51" s="495"/>
      <x:c r="CS51" s="495"/>
      <x:c r="CT51" s="495"/>
      <x:c r="CU51" s="495"/>
      <x:c r="CV51" s="495"/>
      <x:c r="CW51" s="495"/>
      <x:c r="CX51" s="495"/>
      <x:c r="CY51" s="495"/>
      <x:c r="CZ51" s="495"/>
      <x:c r="DA51" s="495"/>
      <x:c r="DB51" s="495"/>
      <x:c r="DC51" s="495"/>
      <x:c r="DD51" s="495"/>
      <x:c r="DE51" s="495"/>
      <x:c r="DF51" s="495"/>
      <x:c r="DG51" s="495"/>
      <x:c r="DH51" s="495"/>
      <x:c r="DI51" s="495"/>
      <x:c r="DJ51" s="495"/>
      <x:c r="DK51" s="495"/>
      <x:c r="DL51" s="495"/>
      <x:c r="DM51" s="495"/>
      <x:c r="DN51" s="495"/>
      <x:c r="DO51" s="495"/>
      <x:c r="DP51" s="495"/>
      <x:c r="DQ51" s="495"/>
      <x:c r="DR51" s="495"/>
      <x:c r="DS51" s="495"/>
      <x:c r="DT51" s="495"/>
      <x:c r="DU51" s="495"/>
      <x:c r="DV51" s="495"/>
      <x:c r="DW51" s="495"/>
      <x:c r="DX51" s="495"/>
      <x:c r="DY51" s="495"/>
      <x:c r="DZ51" s="495"/>
      <x:c r="EA51" s="495"/>
      <x:c r="EB51" s="495"/>
      <x:c r="EC51" s="495"/>
      <x:c r="ED51" s="495"/>
      <x:c r="EE51" s="495"/>
      <x:c r="EF51" s="495"/>
      <x:c r="EG51" s="495"/>
      <x:c r="EH51" s="495"/>
      <x:c r="EI51" s="495"/>
      <x:c r="EJ51" s="495"/>
      <x:c r="EK51" s="495"/>
      <x:c r="EL51" s="495"/>
      <x:c r="EM51" s="495"/>
      <x:c r="EN51" s="495"/>
      <x:c r="EO51" s="495"/>
      <x:c r="EP51" s="495"/>
      <x:c r="EQ51" s="495"/>
      <x:c r="ER51" s="495"/>
      <x:c r="ES51" s="495"/>
      <x:c r="ET51" s="495"/>
      <x:c r="EU51" s="495"/>
    </x:row>
    <x:row r="52" ht="22" customHeight="1">
      <x:c r="A52" s="508" t="s">
        <x:v>175</x:v>
      </x:c>
      <x:c r="B52" s="499"/>
      <x:c r="C52" s="499"/>
      <x:c r="D52" s="499"/>
      <x:c r="E52" s="499"/>
      <x:c r="F52" s="499"/>
      <x:c r="G52" s="499"/>
      <x:c r="H52" s="499"/>
      <x:c r="I52" s="499"/>
      <x:c r="J52" s="499"/>
      <x:c r="K52" s="499"/>
      <x:c r="L52" s="499"/>
      <x:c r="M52" s="499"/>
      <x:c r="N52" s="499"/>
      <x:c r="O52" s="499"/>
      <x:c r="P52" s="499"/>
      <x:c r="Q52" s="499"/>
      <x:c r="R52" s="499"/>
      <x:c r="S52" s="499"/>
      <x:c r="T52" s="499"/>
      <x:c r="U52" s="499"/>
      <x:c r="V52" s="499"/>
      <x:c r="W52" s="499"/>
      <x:c r="X52" s="499"/>
      <x:c r="Y52" s="499"/>
      <x:c r="Z52" s="499"/>
      <x:c r="AA52" s="499"/>
      <x:c r="AB52" s="499"/>
      <x:c r="AC52" s="499"/>
      <x:c r="AD52" s="499"/>
      <x:c r="AE52" s="499"/>
      <x:c r="AF52" s="499"/>
      <x:c r="AG52" s="499"/>
      <x:c r="AH52" s="499"/>
      <x:c r="AI52" s="499"/>
      <x:c r="AJ52" s="499"/>
      <x:c r="AK52" s="499"/>
      <x:c r="AL52" s="499"/>
      <x:c r="AM52" s="499"/>
      <x:c r="AN52" s="499"/>
      <x:c r="AO52" s="499"/>
      <x:c r="AP52" s="499"/>
      <x:c r="AQ52" s="499"/>
      <x:c r="AR52" s="499"/>
      <x:c r="AS52" s="499"/>
      <x:c r="AT52" s="499"/>
      <x:c r="AU52" s="499"/>
      <x:c r="AV52" s="499"/>
      <x:c r="AW52" s="499"/>
      <x:c r="AX52" s="499"/>
      <x:c r="AY52" s="499"/>
      <x:c r="AZ52" s="499"/>
      <x:c r="BA52" s="499"/>
      <x:c r="BB52" s="499"/>
      <x:c r="BC52" s="499"/>
      <x:c r="BD52" s="499"/>
      <x:c r="BE52" s="499"/>
      <x:c r="BF52" s="499"/>
      <x:c r="BG52" s="499"/>
      <x:c r="BH52" s="499"/>
      <x:c r="BI52" s="499"/>
      <x:c r="BJ52" s="499"/>
      <x:c r="BK52" s="499"/>
      <x:c r="BL52" s="499"/>
      <x:c r="BM52" s="499"/>
      <x:c r="BN52" s="499"/>
      <x:c r="BO52" s="499"/>
      <x:c r="BP52" s="499"/>
      <x:c r="BQ52" s="499"/>
      <x:c r="BR52" s="499"/>
      <x:c r="BS52" s="499"/>
      <x:c r="BT52" s="499"/>
      <x:c r="BU52" s="499"/>
      <x:c r="BV52" s="499"/>
      <x:c r="BW52" s="499"/>
      <x:c r="BX52" s="499"/>
      <x:c r="BY52" s="499"/>
      <x:c r="BZ52" s="499"/>
      <x:c r="CA52" s="499"/>
      <x:c r="CB52" s="499"/>
      <x:c r="CC52" s="499"/>
      <x:c r="CD52" s="499"/>
      <x:c r="CE52" s="499"/>
      <x:c r="CF52" s="499"/>
      <x:c r="CG52" s="499"/>
      <x:c r="CH52" s="499"/>
      <x:c r="CI52" s="499"/>
      <x:c r="CJ52" s="499"/>
      <x:c r="CK52" s="499"/>
      <x:c r="CL52" s="499"/>
      <x:c r="CM52" s="499"/>
      <x:c r="CN52" s="499"/>
      <x:c r="CO52" s="499"/>
      <x:c r="CP52" s="499"/>
      <x:c r="CQ52" s="499"/>
      <x:c r="CR52" s="499"/>
      <x:c r="CS52" s="499"/>
      <x:c r="CT52" s="499"/>
      <x:c r="CU52" s="499"/>
      <x:c r="CV52" s="499"/>
      <x:c r="CW52" s="499"/>
      <x:c r="CX52" s="499"/>
      <x:c r="CY52" s="499"/>
      <x:c r="CZ52" s="499"/>
      <x:c r="DA52" s="499"/>
      <x:c r="DB52" s="499"/>
      <x:c r="DC52" s="499"/>
      <x:c r="DD52" s="499"/>
      <x:c r="DE52" s="499"/>
      <x:c r="DF52" s="499"/>
      <x:c r="DG52" s="499"/>
      <x:c r="DH52" s="499"/>
      <x:c r="DI52" s="499"/>
      <x:c r="DJ52" s="499"/>
      <x:c r="DK52" s="499"/>
      <x:c r="DL52" s="499"/>
      <x:c r="DM52" s="499"/>
      <x:c r="DN52" s="499"/>
      <x:c r="DO52" s="499"/>
      <x:c r="DP52" s="499"/>
      <x:c r="DQ52" s="499"/>
      <x:c r="DR52" s="499"/>
      <x:c r="DS52" s="499"/>
      <x:c r="DT52" s="499"/>
      <x:c r="DU52" s="499"/>
      <x:c r="DV52" s="499"/>
      <x:c r="DW52" s="499"/>
      <x:c r="DX52" s="499"/>
      <x:c r="DY52" s="499"/>
      <x:c r="DZ52" s="499"/>
      <x:c r="EA52" s="499"/>
      <x:c r="EB52" s="499"/>
      <x:c r="EC52" s="499"/>
      <x:c r="ED52" s="499"/>
      <x:c r="EE52" s="499"/>
      <x:c r="EF52" s="499"/>
      <x:c r="EG52" s="499"/>
      <x:c r="EH52" s="499"/>
      <x:c r="EI52" s="499"/>
      <x:c r="EJ52" s="499"/>
      <x:c r="EK52" s="499"/>
      <x:c r="EL52" s="499"/>
      <x:c r="EM52" s="499"/>
      <x:c r="EN52" s="499"/>
      <x:c r="EO52" s="499"/>
      <x:c r="EP52" s="499"/>
      <x:c r="EQ52" s="499"/>
      <x:c r="ER52" s="499"/>
      <x:c r="ES52" s="499"/>
      <x:c r="ET52" s="499"/>
      <x:c r="EU52" s="499"/>
    </x:row>
    <x:row r="53" ht="22" customHeight="1">
      <x:c r="A53" s="509" t="s">
        <x:v>176</x:v>
      </x:c>
      <x:c r="B53" s="510"/>
      <x:c r="C53" s="510"/>
      <x:c r="D53" s="510"/>
      <x:c r="E53" s="510"/>
      <x:c r="F53" s="510"/>
      <x:c r="G53" s="510"/>
      <x:c r="H53" s="510"/>
      <x:c r="I53" s="510"/>
      <x:c r="J53" s="510"/>
      <x:c r="K53" s="510"/>
      <x:c r="L53" s="510"/>
      <x:c r="M53" s="510"/>
      <x:c r="N53" s="510"/>
      <x:c r="O53" s="510"/>
      <x:c r="P53" s="510"/>
      <x:c r="Q53" s="510"/>
      <x:c r="R53" s="510"/>
      <x:c r="S53" s="510"/>
      <x:c r="T53" s="510"/>
      <x:c r="U53" s="510"/>
      <x:c r="V53" s="510"/>
      <x:c r="W53" s="510"/>
      <x:c r="X53" s="510"/>
      <x:c r="Y53" s="510"/>
      <x:c r="Z53" s="510"/>
      <x:c r="AA53" s="510"/>
      <x:c r="AB53" s="510"/>
      <x:c r="AC53" s="510"/>
      <x:c r="AD53" s="510"/>
      <x:c r="AE53" s="510"/>
      <x:c r="AF53" s="510"/>
      <x:c r="AG53" s="510"/>
      <x:c r="AH53" s="510"/>
      <x:c r="AI53" s="510"/>
      <x:c r="AJ53" s="510"/>
      <x:c r="AK53" s="510"/>
      <x:c r="AL53" s="510"/>
      <x:c r="AM53" s="510"/>
      <x:c r="AN53" s="510"/>
      <x:c r="AO53" s="510"/>
      <x:c r="AP53" s="510"/>
      <x:c r="AQ53" s="510"/>
      <x:c r="AR53" s="510"/>
      <x:c r="AS53" s="510"/>
      <x:c r="AT53" s="510"/>
      <x:c r="AU53" s="510"/>
      <x:c r="AV53" s="510"/>
      <x:c r="AW53" s="510"/>
      <x:c r="AX53" s="510"/>
      <x:c r="AY53" s="510"/>
      <x:c r="AZ53" s="510"/>
      <x:c r="BA53" s="510"/>
      <x:c r="BB53" s="510"/>
      <x:c r="BC53" s="510"/>
      <x:c r="BD53" s="510"/>
      <x:c r="BE53" s="510"/>
      <x:c r="BF53" s="510"/>
      <x:c r="BG53" s="510"/>
      <x:c r="BH53" s="510"/>
      <x:c r="BI53" s="510"/>
      <x:c r="BJ53" s="510"/>
      <x:c r="BK53" s="510"/>
      <x:c r="BL53" s="510"/>
      <x:c r="BM53" s="510"/>
      <x:c r="BN53" s="510"/>
      <x:c r="BO53" s="510"/>
      <x:c r="BP53" s="510"/>
      <x:c r="BQ53" s="510"/>
      <x:c r="BR53" s="510"/>
      <x:c r="BS53" s="510"/>
      <x:c r="BT53" s="510"/>
      <x:c r="BU53" s="510"/>
      <x:c r="BV53" s="510"/>
      <x:c r="BW53" s="510"/>
      <x:c r="BX53" s="510"/>
      <x:c r="BY53" s="510"/>
      <x:c r="BZ53" s="510"/>
      <x:c r="CA53" s="510"/>
      <x:c r="CB53" s="510"/>
      <x:c r="CC53" s="510"/>
      <x:c r="CD53" s="510"/>
      <x:c r="CE53" s="510"/>
      <x:c r="CF53" s="510"/>
      <x:c r="CG53" s="510"/>
      <x:c r="CH53" s="510"/>
      <x:c r="CI53" s="510"/>
      <x:c r="CJ53" s="510"/>
      <x:c r="CK53" s="510"/>
      <x:c r="CL53" s="510"/>
      <x:c r="CM53" s="510"/>
      <x:c r="CN53" s="510"/>
      <x:c r="CO53" s="510"/>
      <x:c r="CP53" s="510"/>
      <x:c r="CQ53" s="510"/>
      <x:c r="CR53" s="510"/>
      <x:c r="CS53" s="510"/>
      <x:c r="CT53" s="510"/>
      <x:c r="CU53" s="510"/>
      <x:c r="CV53" s="510"/>
      <x:c r="CW53" s="510"/>
      <x:c r="CX53" s="510"/>
      <x:c r="CY53" s="510"/>
      <x:c r="CZ53" s="510"/>
      <x:c r="DA53" s="510"/>
      <x:c r="DB53" s="510"/>
      <x:c r="DC53" s="510"/>
      <x:c r="DD53" s="510"/>
      <x:c r="DE53" s="510"/>
      <x:c r="DF53" s="510"/>
      <x:c r="DG53" s="510"/>
      <x:c r="DH53" s="510"/>
      <x:c r="DI53" s="510"/>
      <x:c r="DJ53" s="510"/>
      <x:c r="DK53" s="510"/>
      <x:c r="DL53" s="510"/>
      <x:c r="DM53" s="510"/>
      <x:c r="DN53" s="510"/>
      <x:c r="DO53" s="510"/>
      <x:c r="DP53" s="510"/>
      <x:c r="DQ53" s="510"/>
      <x:c r="DR53" s="510"/>
      <x:c r="DS53" s="510"/>
      <x:c r="DT53" s="510"/>
      <x:c r="DU53" s="510"/>
      <x:c r="DV53" s="510"/>
      <x:c r="DW53" s="510"/>
      <x:c r="DX53" s="510"/>
      <x:c r="DY53" s="510"/>
      <x:c r="DZ53" s="510"/>
      <x:c r="EA53" s="510"/>
      <x:c r="EB53" s="510"/>
      <x:c r="EC53" s="510"/>
      <x:c r="ED53" s="510"/>
      <x:c r="EE53" s="510"/>
      <x:c r="EF53" s="510"/>
      <x:c r="EG53" s="510"/>
      <x:c r="EH53" s="510"/>
      <x:c r="EI53" s="510"/>
      <x:c r="EJ53" s="510"/>
      <x:c r="EK53" s="510"/>
      <x:c r="EL53" s="510"/>
      <x:c r="EM53" s="510"/>
      <x:c r="EN53" s="510"/>
      <x:c r="EO53" s="510"/>
      <x:c r="EP53" s="510"/>
      <x:c r="EQ53" s="510"/>
      <x:c r="ER53" s="510"/>
      <x:c r="ES53" s="510"/>
      <x:c r="ET53" s="510"/>
      <x:c r="EU53" s="510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9.140625" defaultRowHeight="15"/>
  <x:cols>
    <x:col min="1" max="1" width="16" style="12" hidden="0" customWidth="1"/>
    <x:col min="2" max="2" width="19" style="12" hidden="0" customWidth="1"/>
    <x:col min="3" max="3" width="13" style="12" hidden="0" customWidth="1"/>
    <x:col min="4" max="4" width="13" style="12" hidden="0" customWidth="1"/>
    <x:col min="5" max="5" width="13" style="12" hidden="0" customWidth="1"/>
    <x:col min="6" max="6" width="13" style="12" hidden="0" customWidth="1"/>
    <x:col min="7" max="7" width="13" style="12" hidden="0" customWidth="1"/>
    <x:col min="8" max="8" width="13" style="12" hidden="0" customWidth="1"/>
    <x:col min="9" max="9" width="13" style="1" hidden="0" customWidth="1"/>
    <x:col min="10" max="10" width="13" style="1" hidden="0" customWidth="1"/>
    <x:col min="11" max="11" width="13" style="1" hidden="0" customWidth="1"/>
    <x:col min="12" max="12" width="13" style="1" hidden="0" customWidth="1"/>
    <x:col min="13" max="13" width="13" style="1" hidden="0" customWidth="1"/>
    <x:col min="14" max="14" width="13" style="1" hidden="0" customWidth="1"/>
    <x:col min="15" max="21" width="6.42578125" style="1" customWidth="1"/>
    <x:col min="22" max="22" width="13" style="1" hidden="0" customWidth="1"/>
    <x:col min="23" max="23" width="13" style="1" hidden="0" customWidth="1"/>
    <x:col min="24" max="16384" width="9.140625" style="1" customWidth="0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22" hidden="1" customHeight="1">
      <x:c r="A1" s="476" t="s">
        <x:v>178</x:v>
      </x:c>
      <x:c r="B1" s="457"/>
      <x:c r="C1" s="457"/>
      <x:c r="D1" s="457"/>
      <x:c r="E1" s="457"/>
      <x:c r="F1" s="457"/>
      <x:c r="G1" s="457"/>
      <x:c r="H1" s="457"/>
      <x:c r="I1" s="457"/>
      <x:c r="J1" s="457"/>
      <x:c r="K1" s="457"/>
      <x:c r="L1" s="457"/>
      <x:c r="M1" s="457"/>
      <x:c r="N1" s="457"/>
      <x:c r="O1" s="457"/>
      <x:c r="P1" s="457"/>
      <x:c r="Q1" s="457"/>
      <x:c r="R1" s="457"/>
      <x:c r="S1" s="457"/>
      <x:c r="T1" s="457"/>
      <x:c r="U1" s="457"/>
      <x:c r="V1" s="457"/>
      <x:c r="W1" s="457"/>
    </x:row>
    <x:row r="2" ht="22" hidden="1" customHeight="1">
      <x:c r="A2" s="635"/>
      <x:c r="B2" s="602"/>
      <x:c r="C2" s="602"/>
      <x:c r="D2" s="602"/>
      <x:c r="E2" s="402"/>
      <x:c r="F2" s="402"/>
      <x:c r="G2" s="402"/>
      <x:c r="H2" s="402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</x:row>
    <x:row r="3" ht="22" customHeight="1">
      <x:c r="A3" s="636" t="n">
        <x:f ca="1">'KASSA SOF'!A1</x:f>
        <x:v>46214</x:v>
      </x:c>
      <x:c r="B3" s="603"/>
      <x:c r="C3" s="604" t="s">
        <x:v>179</x:v>
      </x:c>
      <x:c r="D3" s="604"/>
      <x:c r="E3" s="604"/>
      <x:c r="F3" s="604"/>
      <x:c r="G3" s="605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</x:row>
    <x:row r="4" ht="22" customHeight="1">
      <x:c r="A4" s="423" t="s">
        <x:v>180</x:v>
      </x:c>
      <x:c r="B4" s="412" t="s">
        <x:v>181</x:v>
      </x:c>
      <x:c r="C4" s="618" t="s">
        <x:v>182</x:v>
      </x:c>
      <x:c r="D4" s="618" t="s">
        <x:v>183</x:v>
      </x:c>
      <x:c r="E4" s="618" t="s">
        <x:v>184</x:v>
      </x:c>
      <x:c r="F4" s="618" t="s">
        <x:v>185</x:v>
      </x:c>
      <x:c r="G4" s="618" t="s">
        <x:v>186</x:v>
      </x:c>
      <x:c r="H4" s="412"/>
      <x:c r="I4" s="412"/>
      <x:c r="J4" s="412"/>
      <x:c r="K4" s="412"/>
      <x:c r="L4" s="412"/>
      <x:c r="M4" s="412"/>
      <x:c r="N4" s="412"/>
      <x:c r="O4" s="412"/>
      <x:c r="P4" s="412"/>
      <x:c r="Q4" s="412"/>
      <x:c r="R4" s="412"/>
      <x:c r="S4" s="412"/>
      <x:c r="T4" s="412"/>
      <x:c r="U4" s="412"/>
      <x:c r="V4" s="412"/>
      <x:c r="W4" s="412"/>
    </x:row>
    <x:row r="5" ht="22" customHeight="1">
      <x:c r="A5" s="619"/>
      <x:c r="B5" s="620"/>
      <x:c r="C5" s="621" t="n">
        <x:f>SUM(C6:C25)</x:f>
        <x:v>75782754</x:v>
      </x:c>
      <x:c r="D5" s="622" t="n">
        <x:f>SUM(D6:D25)</x:f>
        <x:v>61065654</x:v>
      </x:c>
      <x:c r="E5" s="622" t="n">
        <x:f ca="1">SUM(E6:E25)</x:f>
        <x:v>73908300</x:v>
      </x:c>
      <x:c r="F5" s="622" t="n">
        <x:f ca="1">SUM(F6:F25)</x:f>
        <x:v>1874454</x:v>
      </x:c>
      <x:c r="G5" s="623" t="n">
        <x:f>SUM(G6:G25)</x:f>
        <x:v>-1257456982.92</x:v>
      </x:c>
      <x:c r="H5" s="415"/>
      <x:c r="I5" s="415"/>
      <x:c r="J5" s="415"/>
      <x:c r="K5" s="415"/>
      <x:c r="L5" s="415"/>
      <x:c r="M5" s="472" t="n">
        <x:f>SUM(M6:M109)</x:f>
        <x:v>0</x:v>
      </x:c>
      <x:c r="N5" s="472" t="n">
        <x:f ca="1">SUM(N6:N110)</x:f>
        <x:v>0</x:v>
      </x:c>
      <x:c r="O5" s="415"/>
      <x:c r="P5" s="415"/>
      <x:c r="Q5" s="415"/>
      <x:c r="R5" s="415"/>
      <x:c r="S5" s="415"/>
      <x:c r="T5" s="415"/>
      <x:c r="U5" s="415"/>
      <x:c r="V5" s="624"/>
      <x:c r="W5" s="415"/>
    </x:row>
    <x:row r="6" ht="22" customHeight="1">
      <x:c r="A6" s="588">
        <x:v>1</x:v>
      </x:c>
      <x:c r="B6" s="589" t="s">
        <x:v>17</x:v>
      </x:c>
      <x:c r="C6" s="590" t="n">
        <x:f>_xlfn.XLOOKUP(H6,MANUS!$A$5:$A$25,MANUS!$B$5:$B$25,0,0)</x:f>
        <x:v>2333500</x:v>
      </x:c>
      <x:c r="D6" s="591" t="n">
        <x:f>IFERROR(_xlfn.XLOOKUP(H6,MANUS!$A$5:$A$25,MANUS!$C$5:$C$25),0)</x:f>
        <x:v>2126300</x:v>
      </x:c>
      <x:c r="E6" s="591" t="n">
        <x:f ca="1">SUMIF(J:J,B6,N:N)</x:f>
        <x:v>0</x:v>
      </x:c>
      <x:c r="F6" s="591" t="n">
        <x:f ca="1">C6-E6</x:f>
        <x:v>2333500</x:v>
      </x:c>
      <x:c r="G6" s="592" t="n">
        <x:f>SUMIF(J:J,B6,M:M)</x:f>
        <x:v>0</x:v>
      </x:c>
      <x:c r="H6" s="383" t="s">
        <x:v>17</x:v>
      </x:c>
      <x:c r="I6" s="383"/>
      <x:c r="J6" s="383" t="s">
        <x:v>17</x:v>
      </x:c>
      <x:c r="K6" s="593" t="s">
        <x:v>187</x:v>
      </x:c>
      <x:c r="L6" s="594"/>
      <x:c r="M6" s="594" t="n">
        <x:f>SUMIF('[1]SAVDO BALANS'!$BK:$BK,K6,'[1]SAVDO BALANS'!$BL:$BL)</x:f>
        <x:v>0</x:v>
      </x:c>
      <x:c r="N6" s="594" t="n" cm="1">
        <x:f t="array" aca="1" ref="N6" ca="1">IFERROR(_xlfn.XLOOKUP($A$3,'[1]SAVDO BALANS'!$AE$11:$BH$11,_xlfn.XLOOKUP($K6,'[1]SAVDO BALANS'!$AD$13:$AD$130,'[1]SAVDO BALANS'!$AE$13:$BH$130)),0)</x:f>
        <x:v>0</x:v>
      </x:c>
      <x:c r="O6" s="383"/>
      <x:c r="P6" s="383"/>
      <x:c r="Q6" s="383"/>
      <x:c r="R6" s="383"/>
      <x:c r="S6" s="383"/>
      <x:c r="T6" s="383"/>
      <x:c r="U6" s="383"/>
      <x:c r="V6" s="586"/>
      <x:c r="W6" s="587"/>
    </x:row>
    <x:row r="7" ht="22" customHeight="1">
      <x:c r="A7" s="625">
        <x:v>2</x:v>
      </x:c>
      <x:c r="B7" s="626" t="s">
        <x:v>29</x:v>
      </x:c>
      <x:c r="C7" s="627" t="n">
        <x:f>_xlfn.XLOOKUP(H7,MANUS!$A$5:$A$25,MANUS!$B$5:$B$25,0,0)</x:f>
        <x:v>4136754</x:v>
      </x:c>
      <x:c r="D7" s="628" t="n">
        <x:f>IFERROR(_xlfn.XLOOKUP(H7,MANUS!$A$5:$A$25,MANUS!$C$5:$C$25),0)</x:f>
        <x:v>4136754</x:v>
      </x:c>
      <x:c r="E7" s="628" t="n">
        <x:f t="shared" ref="E7:E25" ca="1" si="0">SUMIF(J:J,B7,N:N)</x:f>
        <x:v>0</x:v>
      </x:c>
      <x:c r="F7" s="628" t="n">
        <x:f t="shared" ref="F7:F25" ca="1" si="1">C7-E7</x:f>
        <x:v>4136754</x:v>
      </x:c>
      <x:c r="G7" s="629" t="n">
        <x:f t="shared" ref="G7:G25" si="2">SUMIF(J:J,B7,M:M)</x:f>
        <x:v>0</x:v>
      </x:c>
      <x:c r="H7" s="415" t="s">
        <x:v>29</x:v>
      </x:c>
      <x:c r="I7" s="624"/>
      <x:c r="J7" s="415" t="s">
        <x:v>17</x:v>
      </x:c>
      <x:c r="K7" s="630" t="s">
        <x:v>188</x:v>
      </x:c>
      <x:c r="L7" s="631"/>
      <x:c r="M7" s="631" t="n">
        <x:f>SUMIF('[1]SAVDO BALANS'!$BK:$BK,K7,'[1]SAVDO BALANS'!$BL:$BL)</x:f>
        <x:v>0</x:v>
      </x:c>
      <x:c r="N7" s="631" t="n" cm="1">
        <x:f t="array" aca="1" ref="N7" ca="1">IFERROR(_xlfn.XLOOKUP($A$3,'[1]SAVDO BALANS'!$AE$11:$BH$11,_xlfn.XLOOKUP($K7,'[1]SAVDO BALANS'!$AD$13:$AD$130,'[1]SAVDO BALANS'!$AE$13:$BH$130)),0)</x:f>
        <x:v>0</x:v>
      </x:c>
      <x:c r="O7" s="624"/>
      <x:c r="P7" s="624"/>
      <x:c r="Q7" s="624"/>
      <x:c r="R7" s="624"/>
      <x:c r="S7" s="624"/>
      <x:c r="T7" s="624"/>
      <x:c r="U7" s="624"/>
      <x:c r="V7" s="624"/>
      <x:c r="W7" s="415"/>
    </x:row>
    <x:row r="8" ht="22" customHeight="1">
      <x:c r="A8" s="588">
        <x:v>3</x:v>
      </x:c>
      <x:c r="B8" s="589" t="s">
        <x:v>189</x:v>
      </x:c>
      <x:c r="C8" s="590" t="n">
        <x:f>_xlfn.XLOOKUP(H8,MANUS!$A$5:$A$25,MANUS!$B$5:$B$25,0,0)</x:f>
        <x:v>5362300</x:v>
      </x:c>
      <x:c r="D8" s="591" t="n">
        <x:f>IFERROR(_xlfn.XLOOKUP(H8,MANUS!$A$5:$A$25,MANUS!$C$5:$C$25),0)</x:f>
        <x:v>5018500</x:v>
      </x:c>
      <x:c r="E8" s="591">
        <x:f t="shared" ca="1" si="0"/>
        <x:v>5362300</x:v>
      </x:c>
      <x:c r="F8" s="591">
        <x:f t="shared" ca="1" si="1"/>
        <x:v>0</x:v>
      </x:c>
      <x:c r="G8" s="592">
        <x:f t="shared" si="2"/>
        <x:v>-231812735</x:v>
      </x:c>
      <x:c r="H8" s="383" t="s">
        <x:v>23</x:v>
      </x:c>
      <x:c r="I8" s="383"/>
      <x:c r="J8" s="383" t="s">
        <x:v>17</x:v>
      </x:c>
      <x:c r="K8" s="593" t="s">
        <x:v>190</x:v>
      </x:c>
      <x:c r="L8" s="594"/>
      <x:c r="M8" s="594" t="n">
        <x:f>SUMIF('[1]SAVDO BALANS'!$BK:$BK,K8,'[1]SAVDO BALANS'!$BL:$BL)</x:f>
        <x:v>0</x:v>
      </x:c>
      <x:c r="N8" s="594" t="n" cm="1">
        <x:f t="array" aca="1" ref="N8" ca="1">IFERROR(_xlfn.XLOOKUP($A$3,'[1]SAVDO BALANS'!$AE$11:$BH$11,_xlfn.XLOOKUP($K8,'[1]SAVDO BALANS'!$AD$13:$AD$130,'[1]SAVDO BALANS'!$AE$13:$BH$130)),0)</x:f>
        <x:v>0</x:v>
      </x:c>
      <x:c r="O8" s="383"/>
      <x:c r="P8" s="383"/>
      <x:c r="Q8" s="383"/>
      <x:c r="R8" s="383"/>
      <x:c r="S8" s="383"/>
      <x:c r="T8" s="383"/>
      <x:c r="U8" s="383"/>
      <x:c r="V8" s="586"/>
      <x:c r="W8" s="587"/>
    </x:row>
    <x:row r="9" ht="22" customHeight="1">
      <x:c r="A9" s="625">
        <x:v>4</x:v>
      </x:c>
      <x:c r="B9" s="626" t="s">
        <x:v>191</x:v>
      </x:c>
      <x:c r="C9" s="627" t="n">
        <x:f>_xlfn.XLOOKUP(H9,MANUS!$A$5:$A$25,MANUS!$B$5:$B$25,0,0)</x:f>
        <x:v>9924500</x:v>
      </x:c>
      <x:c r="D9" s="628" t="n">
        <x:f>IFERROR(_xlfn.XLOOKUP(H9,MANUS!$A$5:$A$25,MANUS!$C$5:$C$25),0)</x:f>
        <x:v>9924500</x:v>
      </x:c>
      <x:c r="E9" s="628">
        <x:f t="shared" ca="1" si="0"/>
        <x:v>9924500</x:v>
      </x:c>
      <x:c r="F9" s="628">
        <x:f t="shared" ca="1" si="1"/>
        <x:v>0</x:v>
      </x:c>
      <x:c r="G9" s="629">
        <x:f t="shared" si="2"/>
        <x:v>-163929820</x:v>
      </x:c>
      <x:c r="H9" s="415" t="s">
        <x:v>39</x:v>
      </x:c>
      <x:c r="I9" s="415"/>
      <x:c r="J9" s="415" t="s">
        <x:v>17</x:v>
      </x:c>
      <x:c r="K9" s="630" t="s">
        <x:v>192</x:v>
      </x:c>
      <x:c r="L9" s="631"/>
      <x:c r="M9" s="631" t="n">
        <x:f>SUMIF('[1]SAVDO BALANS'!$BK:$BK,K9,'[1]SAVDO BALANS'!$BL:$BL)</x:f>
        <x:v>0</x:v>
      </x:c>
      <x:c r="N9" s="631" t="n" cm="1">
        <x:f t="array" aca="1" ref="N9" ca="1">IFERROR(_xlfn.XLOOKUP($A$3,'[1]SAVDO BALANS'!$AE$11:$BH$11,_xlfn.XLOOKUP($K9,'[1]SAVDO BALANS'!$AD$13:$AD$130,'[1]SAVDO BALANS'!$AE$13:$BH$130)),0)</x:f>
        <x:v>0</x:v>
      </x:c>
      <x:c r="O9" s="415"/>
      <x:c r="P9" s="415"/>
      <x:c r="Q9" s="415"/>
      <x:c r="R9" s="415"/>
      <x:c r="S9" s="415"/>
      <x:c r="T9" s="415"/>
      <x:c r="U9" s="415"/>
      <x:c r="V9" s="624"/>
      <x:c r="W9" s="415"/>
    </x:row>
    <x:row r="10" ht="22" customHeight="1">
      <x:c r="A10" s="588">
        <x:v>5</x:v>
      </x:c>
      <x:c r="B10" s="589" t="s">
        <x:v>51</x:v>
      </x:c>
      <x:c r="C10" s="590" t="n">
        <x:f>_xlfn.XLOOKUP(H10,MANUS!$A$5:$A$25,MANUS!$B$5:$B$25,0,0)</x:f>
        <x:v>4314400</x:v>
      </x:c>
      <x:c r="D10" s="591" t="n">
        <x:f>IFERROR(_xlfn.XLOOKUP(H10,MANUS!$A$5:$A$25,MANUS!$C$5:$C$25),0)</x:f>
        <x:v>4314400</x:v>
      </x:c>
      <x:c r="E10" s="591">
        <x:f t="shared" ca="1" si="0"/>
        <x:v>4314400</x:v>
      </x:c>
      <x:c r="F10" s="591">
        <x:f t="shared" ca="1" si="1"/>
        <x:v>0</x:v>
      </x:c>
      <x:c r="G10" s="592">
        <x:f t="shared" si="2"/>
        <x:v>-47330991</x:v>
      </x:c>
      <x:c r="H10" s="383" t="s">
        <x:v>51</x:v>
      </x:c>
      <x:c r="I10" s="383"/>
      <x:c r="J10" s="383" t="s">
        <x:v>17</x:v>
      </x:c>
      <x:c r="K10" s="593" t="s">
        <x:v>193</x:v>
      </x:c>
      <x:c r="L10" s="594"/>
      <x:c r="M10" s="594" t="n">
        <x:f>SUMIF('[1]SAVDO BALANS'!$BK:$BK,K10,'[1]SAVDO BALANS'!$BL:$BL)</x:f>
        <x:v>0</x:v>
      </x:c>
      <x:c r="N10" s="594" t="n" cm="1">
        <x:f t="array" aca="1" ref="N10" ca="1">IFERROR(_xlfn.XLOOKUP($A$3,'[1]SAVDO BALANS'!$AE$11:$BH$11,_xlfn.XLOOKUP($K10,'[1]SAVDO BALANS'!$AD$13:$AD$130,'[1]SAVDO BALANS'!$AE$13:$BH$130)),0)</x:f>
        <x:v>0</x:v>
      </x:c>
      <x:c r="O10" s="383"/>
      <x:c r="P10" s="383"/>
      <x:c r="Q10" s="383"/>
      <x:c r="R10" s="383"/>
      <x:c r="S10" s="383"/>
      <x:c r="T10" s="383"/>
      <x:c r="U10" s="383"/>
      <x:c r="V10" s="586"/>
      <x:c r="W10" s="587"/>
    </x:row>
    <x:row r="11" ht="22" customHeight="1">
      <x:c r="A11" s="625">
        <x:v>6</x:v>
      </x:c>
      <x:c r="B11" s="626" t="s">
        <x:v>43</x:v>
      </x:c>
      <x:c r="C11" s="627" t="n">
        <x:f>_xlfn.XLOOKUP(H11,MANUS!$A$5:$A$25,MANUS!$B$5:$B$25,0,0)</x:f>
        <x:v>2602300</x:v>
      </x:c>
      <x:c r="D11" s="628" t="n">
        <x:f>IFERROR(_xlfn.XLOOKUP(H11,MANUS!$A$5:$A$25,MANUS!$C$5:$C$25),0)</x:f>
        <x:v>2486300</x:v>
      </x:c>
      <x:c r="E11" s="628">
        <x:f t="shared" ca="1" si="0"/>
        <x:v>2602300</x:v>
      </x:c>
      <x:c r="F11" s="628">
        <x:f t="shared" ca="1" si="1"/>
        <x:v>0</x:v>
      </x:c>
      <x:c r="G11" s="629">
        <x:f t="shared" si="2"/>
        <x:v>-48006401</x:v>
      </x:c>
      <x:c r="H11" s="415" t="s">
        <x:v>43</x:v>
      </x:c>
      <x:c r="I11" s="415"/>
      <x:c r="J11" s="415" t="s">
        <x:v>17</x:v>
      </x:c>
      <x:c r="K11" s="630" t="s">
        <x:v>194</x:v>
      </x:c>
      <x:c r="L11" s="631"/>
      <x:c r="M11" s="631" t="n">
        <x:f>SUMIF('[1]SAVDO BALANS'!$BK:$BK,K11,'[1]SAVDO BALANS'!$BL:$BL)</x:f>
        <x:v>0</x:v>
      </x:c>
      <x:c r="N11" s="631" t="n" cm="1">
        <x:f t="array" aca="1" ref="N11" ca="1">IFERROR(_xlfn.XLOOKUP($A$3,'[1]SAVDO BALANS'!$AE$11:$BH$11,_xlfn.XLOOKUP($K11,'[1]SAVDO BALANS'!$AD$13:$AD$130,'[1]SAVDO BALANS'!$AE$13:$BH$130)),0)</x:f>
        <x:v>0</x:v>
      </x:c>
      <x:c r="O11" s="415"/>
      <x:c r="P11" s="415"/>
      <x:c r="Q11" s="415"/>
      <x:c r="R11" s="415"/>
      <x:c r="S11" s="415"/>
      <x:c r="T11" s="415"/>
      <x:c r="U11" s="415"/>
      <x:c r="V11" s="624"/>
      <x:c r="W11" s="415"/>
    </x:row>
    <x:row r="12" ht="22" customHeight="1">
      <x:c r="A12" s="588">
        <x:v>7</x:v>
      </x:c>
      <x:c r="B12" s="589" t="s">
        <x:v>35</x:v>
      </x:c>
      <x:c r="C12" s="590" t="n">
        <x:f>_xlfn.XLOOKUP(H12,MANUS!$A$5:$A$25,MANUS!$B$5:$B$25,0,0)</x:f>
        <x:v>848000</x:v>
      </x:c>
      <x:c r="D12" s="591" t="n">
        <x:f>IFERROR(_xlfn.XLOOKUP(H12,MANUS!$A$5:$A$25,MANUS!$C$5:$C$25),0)</x:f>
        <x:v>848000</x:v>
      </x:c>
      <x:c r="E12" s="591">
        <x:f t="shared" ca="1" si="0"/>
        <x:v>848000</x:v>
      </x:c>
      <x:c r="F12" s="591">
        <x:f t="shared" ca="1" si="1"/>
        <x:v>0</x:v>
      </x:c>
      <x:c r="G12" s="592">
        <x:f t="shared" si="2"/>
        <x:v>-38578200</x:v>
      </x:c>
      <x:c r="H12" s="383" t="s">
        <x:v>35</x:v>
      </x:c>
      <x:c r="I12" s="383"/>
      <x:c r="J12" s="383" t="s">
        <x:v>17</x:v>
      </x:c>
      <x:c r="K12" s="593" t="s">
        <x:v>195</x:v>
      </x:c>
      <x:c r="L12" s="594"/>
      <x:c r="M12" s="594" t="n">
        <x:f>SUMIF('[1]SAVDO BALANS'!$BK:$BK,K12,'[1]SAVDO BALANS'!$BL:$BL)</x:f>
        <x:v>0</x:v>
      </x:c>
      <x:c r="N12" s="594" t="n" cm="1">
        <x:f t="array" aca="1" ref="N12" ca="1">IFERROR(_xlfn.XLOOKUP($A$3,'[1]SAVDO BALANS'!$AE$11:$BH$11,_xlfn.XLOOKUP($K12,'[1]SAVDO BALANS'!$AD$13:$AD$130,'[1]SAVDO BALANS'!$AE$13:$BH$130)),0)</x:f>
        <x:v>0</x:v>
      </x:c>
      <x:c r="O12" s="383"/>
      <x:c r="P12" s="383"/>
      <x:c r="Q12" s="383"/>
      <x:c r="R12" s="383"/>
      <x:c r="S12" s="383"/>
      <x:c r="T12" s="383"/>
      <x:c r="U12" s="383"/>
      <x:c r="V12" s="586"/>
      <x:c r="W12" s="587"/>
    </x:row>
    <x:row r="13" ht="22" customHeight="1">
      <x:c r="A13" s="625">
        <x:v>8</x:v>
      </x:c>
      <x:c r="B13" s="626" t="s">
        <x:v>196</x:v>
      </x:c>
      <x:c r="C13" s="627" t="n">
        <x:f>_xlfn.XLOOKUP(H13,MANUS!$A$5:$A$25,MANUS!$B$5:$B$25,0,0)</x:f>
        <x:v>0</x:v>
      </x:c>
      <x:c r="D13" s="628" t="n">
        <x:f>IFERROR(_xlfn.XLOOKUP(H13,MANUS!$A$5:$A$25,MANUS!$C$5:$C$25),0)</x:f>
        <x:v>0</x:v>
      </x:c>
      <x:c r="E13" s="628">
        <x:f t="shared" ca="1" si="0"/>
        <x:v>4595800</x:v>
      </x:c>
      <x:c r="F13" s="628">
        <x:f t="shared" ca="1" si="1"/>
        <x:v>-4595800</x:v>
      </x:c>
      <x:c r="G13" s="629">
        <x:f t="shared" si="2"/>
        <x:v>-32999060</x:v>
      </x:c>
      <x:c r="H13" s="415" t="s">
        <x:v>196</x:v>
      </x:c>
      <x:c r="I13" s="415"/>
      <x:c r="J13" s="415" t="s">
        <x:v>17</x:v>
      </x:c>
      <x:c r="K13" s="630" t="s">
        <x:v>197</x:v>
      </x:c>
      <x:c r="L13" s="631"/>
      <x:c r="M13" s="631" t="n">
        <x:f>SUMIF('[1]SAVDO BALANS'!$BK:$BK,K13,'[1]SAVDO BALANS'!$BL:$BL)</x:f>
        <x:v>0</x:v>
      </x:c>
      <x:c r="N13" s="631" t="n" cm="1">
        <x:f t="array" aca="1" ref="N13" ca="1">IFERROR(_xlfn.XLOOKUP($A$3,'[1]SAVDO BALANS'!$AE$11:$BH$11,_xlfn.XLOOKUP($K13,'[1]SAVDO BALANS'!$AD$13:$AD$130,'[1]SAVDO BALANS'!$AE$13:$BH$130)),0)</x:f>
        <x:v>0</x:v>
      </x:c>
      <x:c r="O13" s="415"/>
      <x:c r="P13" s="415"/>
      <x:c r="Q13" s="415"/>
      <x:c r="R13" s="415"/>
      <x:c r="S13" s="415"/>
      <x:c r="T13" s="415"/>
      <x:c r="U13" s="415"/>
      <x:c r="V13" s="624"/>
      <x:c r="W13" s="415"/>
    </x:row>
    <x:row r="14" ht="22" customHeight="1">
      <x:c r="A14" s="588">
        <x:v>9</x:v>
      </x:c>
      <x:c r="B14" s="589" t="s">
        <x:v>25</x:v>
      </x:c>
      <x:c r="C14" s="590" t="n">
        <x:f>_xlfn.XLOOKUP(H14,MANUS!$A$5:$A$25,MANUS!$B$5:$B$25,0,0)</x:f>
        <x:v>3993300</x:v>
      </x:c>
      <x:c r="D14" s="591" t="n">
        <x:f>IFERROR(_xlfn.XLOOKUP(H14,MANUS!$A$5:$A$25,MANUS!$C$5:$C$25),0)</x:f>
        <x:v>3845300</x:v>
      </x:c>
      <x:c r="E14" s="591">
        <x:f t="shared" ca="1" si="0"/>
        <x:v>3993300</x:v>
      </x:c>
      <x:c r="F14" s="591">
        <x:f t="shared" ca="1" si="1"/>
        <x:v>0</x:v>
      </x:c>
      <x:c r="G14" s="592">
        <x:f t="shared" si="2"/>
        <x:v>-34481300</x:v>
      </x:c>
      <x:c r="H14" s="383" t="s">
        <x:v>25</x:v>
      </x:c>
      <x:c r="I14" s="383"/>
      <x:c r="J14" s="383" t="s">
        <x:v>17</x:v>
      </x:c>
      <x:c r="K14" s="593" t="s">
        <x:v>72</x:v>
      </x:c>
      <x:c r="L14" s="594"/>
      <x:c r="M14" s="594" t="n">
        <x:f>SUMIF('[1]SAVDO BALANS'!$BK:$BK,K14,'[1]SAVDO BALANS'!$BL:$BL)</x:f>
        <x:v>0</x:v>
      </x:c>
      <x:c r="N14" s="594" t="n" cm="1">
        <x:f t="array" aca="1" ref="N14" ca="1">IFERROR(_xlfn.XLOOKUP($A$3,'[1]SAVDO BALANS'!$AE$11:$BH$11,_xlfn.XLOOKUP($K14,'[1]SAVDO BALANS'!$AD$13:$AD$130,'[1]SAVDO BALANS'!$AE$13:$BH$130)),0)</x:f>
        <x:v>0</x:v>
      </x:c>
      <x:c r="O14" s="383"/>
      <x:c r="P14" s="383"/>
      <x:c r="Q14" s="383"/>
      <x:c r="R14" s="383"/>
      <x:c r="S14" s="383"/>
      <x:c r="T14" s="383"/>
      <x:c r="U14" s="383"/>
      <x:c r="V14" s="586"/>
      <x:c r="W14" s="587"/>
    </x:row>
    <x:row r="15" ht="22" customHeight="1">
      <x:c r="A15" s="625">
        <x:v>10</x:v>
      </x:c>
      <x:c r="B15" s="626" t="s">
        <x:v>41</x:v>
      </x:c>
      <x:c r="C15" s="627" t="n">
        <x:f>_xlfn.XLOOKUP(H15,MANUS!$A$5:$A$25,MANUS!$B$5:$B$25,0,0)</x:f>
        <x:v>17606200</x:v>
      </x:c>
      <x:c r="D15" s="628" t="n">
        <x:f>IFERROR(_xlfn.XLOOKUP(H15,MANUS!$A$5:$A$25,MANUS!$C$5:$C$25),0)</x:f>
        <x:v>9112400</x:v>
      </x:c>
      <x:c r="E15" s="628">
        <x:f t="shared" ca="1" si="0"/>
        <x:v>17606200</x:v>
      </x:c>
      <x:c r="F15" s="628">
        <x:f t="shared" ca="1" si="1"/>
        <x:v>0</x:v>
      </x:c>
      <x:c r="G15" s="629">
        <x:f t="shared" si="2"/>
        <x:v>-93782680</x:v>
      </x:c>
      <x:c r="H15" s="415" t="s">
        <x:v>41</x:v>
      </x:c>
      <x:c r="I15" s="415"/>
      <x:c r="J15" s="415" t="s">
        <x:v>17</x:v>
      </x:c>
      <x:c r="K15" s="630" t="s">
        <x:v>198</x:v>
      </x:c>
      <x:c r="L15" s="631"/>
      <x:c r="M15" s="631" t="n">
        <x:f>SUMIF('[1]SAVDO BALANS'!$BK:$BK,K15,'[1]SAVDO BALANS'!$BL:$BL)</x:f>
        <x:v>0</x:v>
      </x:c>
      <x:c r="N15" s="631" t="n" cm="1">
        <x:f t="array" aca="1" ref="N15" ca="1">IFERROR(_xlfn.XLOOKUP($A$3,'[1]SAVDO BALANS'!$AE$11:$BH$11,_xlfn.XLOOKUP($K15,'[1]SAVDO BALANS'!$AD$13:$AD$130,'[1]SAVDO BALANS'!$AE$13:$BH$130)),0)</x:f>
        <x:v>0</x:v>
      </x:c>
      <x:c r="O15" s="415"/>
      <x:c r="P15" s="415"/>
      <x:c r="Q15" s="415"/>
      <x:c r="R15" s="415"/>
      <x:c r="S15" s="415"/>
      <x:c r="T15" s="415"/>
      <x:c r="U15" s="415"/>
      <x:c r="V15" s="624"/>
      <x:c r="W15" s="415"/>
    </x:row>
    <x:row r="16" ht="22" customHeight="1">
      <x:c r="A16" s="588">
        <x:v>11</x:v>
      </x:c>
      <x:c r="B16" s="589" t="s">
        <x:v>199</x:v>
      </x:c>
      <x:c r="C16" s="590" t="n">
        <x:f>_xlfn.XLOOKUP(H16,MANUS!$A$5:$A$25,MANUS!$B$5:$B$25,0,0)</x:f>
        <x:v>853600</x:v>
      </x:c>
      <x:c r="D16" s="591" t="n">
        <x:f>IFERROR(_xlfn.XLOOKUP(H16,MANUS!$A$5:$A$25,MANUS!$C$5:$C$25),0)</x:f>
        <x:v>853600</x:v>
      </x:c>
      <x:c r="E16" s="591">
        <x:f t="shared" ca="1" si="0"/>
        <x:v>853600</x:v>
      </x:c>
      <x:c r="F16" s="591">
        <x:f t="shared" ca="1" si="1"/>
        <x:v>0</x:v>
      </x:c>
      <x:c r="G16" s="592">
        <x:f t="shared" si="2"/>
        <x:v>-12793644</x:v>
      </x:c>
      <x:c r="H16" s="383" t="s">
        <x:v>27</x:v>
      </x:c>
      <x:c r="I16" s="383"/>
      <x:c r="J16" s="383" t="s">
        <x:v>19</x:v>
      </x:c>
      <x:c r="K16" s="593" t="s">
        <x:v>73</x:v>
      </x:c>
      <x:c r="L16" s="594"/>
      <x:c r="M16" s="594" t="n">
        <x:f>SUMIF('[1]SAVDO BALANS'!$BK:$BK,K16,'[1]SAVDO BALANS'!$BL:$BL)</x:f>
        <x:v>0</x:v>
      </x:c>
      <x:c r="N16" s="594" t="n" cm="1">
        <x:f t="array" aca="1" ref="N16" ca="1">IFERROR(_xlfn.XLOOKUP($A$3,'[1]SAVDO BALANS'!$AE$11:$BH$11,_xlfn.XLOOKUP($K16,'[1]SAVDO BALANS'!$AD$13:$AD$130,'[1]SAVDO BALANS'!$AE$13:$BH$130)),0)</x:f>
        <x:v>0</x:v>
      </x:c>
      <x:c r="O16" s="383"/>
      <x:c r="P16" s="383"/>
      <x:c r="Q16" s="383"/>
      <x:c r="R16" s="383"/>
      <x:c r="S16" s="383"/>
      <x:c r="T16" s="383"/>
      <x:c r="U16" s="383"/>
      <x:c r="V16" s="586"/>
      <x:c r="W16" s="587"/>
    </x:row>
    <x:row r="17" ht="22" customHeight="1">
      <x:c r="A17" s="625">
        <x:v>12</x:v>
      </x:c>
      <x:c r="B17" s="626" t="s">
        <x:v>19</x:v>
      </x:c>
      <x:c r="C17" s="627" t="n">
        <x:f>_xlfn.XLOOKUP(H17,MANUS!$A$5:$A$25,MANUS!$B$5:$B$25,0,0)</x:f>
        <x:v>1981200</x:v>
      </x:c>
      <x:c r="D17" s="628" t="n">
        <x:f>IFERROR(_xlfn.XLOOKUP(H17,MANUS!$A$5:$A$25,MANUS!$C$5:$C$25),0)</x:f>
        <x:v>1799200</x:v>
      </x:c>
      <x:c r="E17" s="628">
        <x:f t="shared" ca="1" si="0"/>
        <x:v>1981200</x:v>
      </x:c>
      <x:c r="F17" s="628">
        <x:f t="shared" ca="1" si="1"/>
        <x:v>0</x:v>
      </x:c>
      <x:c r="G17" s="629">
        <x:f t="shared" si="2"/>
        <x:v>-78341116</x:v>
      </x:c>
      <x:c r="H17" s="415" t="s">
        <x:v>19</x:v>
      </x:c>
      <x:c r="I17" s="415"/>
      <x:c r="J17" s="415" t="s">
        <x:v>19</x:v>
      </x:c>
      <x:c r="K17" s="630" t="s">
        <x:v>74</x:v>
      </x:c>
      <x:c r="L17" s="631"/>
      <x:c r="M17" s="631" t="n">
        <x:f>SUMIF('[1]SAVDO BALANS'!$BK:$BK,K17,'[1]SAVDO BALANS'!$BL:$BL)</x:f>
        <x:v>0</x:v>
      </x:c>
      <x:c r="N17" s="631" t="n" cm="1">
        <x:f t="array" aca="1" ref="N17" ca="1">IFERROR(_xlfn.XLOOKUP($A$3,'[1]SAVDO BALANS'!$AE$11:$BH$11,_xlfn.XLOOKUP($K17,'[1]SAVDO BALANS'!$AD$13:$AD$130,'[1]SAVDO BALANS'!$AE$13:$BH$130)),0)</x:f>
        <x:v>0</x:v>
      </x:c>
      <x:c r="O17" s="415"/>
      <x:c r="P17" s="415"/>
      <x:c r="Q17" s="415"/>
      <x:c r="R17" s="415"/>
      <x:c r="S17" s="415"/>
      <x:c r="T17" s="415"/>
      <x:c r="U17" s="415"/>
      <x:c r="V17" s="624"/>
      <x:c r="W17" s="415"/>
    </x:row>
    <x:row r="18" ht="22" customHeight="1">
      <x:c r="A18" s="588">
        <x:v>13</x:v>
      </x:c>
      <x:c r="B18" s="589" t="s">
        <x:v>31</x:v>
      </x:c>
      <x:c r="C18" s="590" t="n">
        <x:f>_xlfn.XLOOKUP(H18,MANUS!$A$5:$A$25,MANUS!$B$5:$B$25,0,0)</x:f>
        <x:v>4246600</x:v>
      </x:c>
      <x:c r="D18" s="591" t="n">
        <x:f>IFERROR(_xlfn.XLOOKUP(H18,MANUS!$A$5:$A$25,MANUS!$C$5:$C$25),0)</x:f>
        <x:v>3276400</x:v>
      </x:c>
      <x:c r="E18" s="591">
        <x:f t="shared" ca="1" si="0"/>
        <x:v>4246600</x:v>
      </x:c>
      <x:c r="F18" s="591">
        <x:f t="shared" ca="1" si="1"/>
        <x:v>0</x:v>
      </x:c>
      <x:c r="G18" s="592">
        <x:f t="shared" si="2"/>
        <x:v>-109293606.02</x:v>
      </x:c>
      <x:c r="H18" s="383" t="s">
        <x:v>31</x:v>
      </x:c>
      <x:c r="I18" s="383"/>
      <x:c r="J18" s="383" t="s">
        <x:v>19</x:v>
      </x:c>
      <x:c r="K18" s="593" t="s">
        <x:v>75</x:v>
      </x:c>
      <x:c r="L18" s="594"/>
      <x:c r="M18" s="594" t="n">
        <x:f>SUMIF('[1]SAVDO BALANS'!$BK:$BK,K18,'[1]SAVDO BALANS'!$BL:$BL)</x:f>
        <x:v>0</x:v>
      </x:c>
      <x:c r="N18" s="594" t="n" cm="1">
        <x:f t="array" aca="1" ref="N18" ca="1">IFERROR(_xlfn.XLOOKUP($A$3,'[1]SAVDO BALANS'!$AE$11:$BH$11,_xlfn.XLOOKUP($K18,'[1]SAVDO BALANS'!$AD$13:$AD$130,'[1]SAVDO BALANS'!$AE$13:$BH$130)),0)</x:f>
        <x:v>0</x:v>
      </x:c>
      <x:c r="O18" s="383"/>
      <x:c r="P18" s="383"/>
      <x:c r="Q18" s="383"/>
      <x:c r="R18" s="383"/>
      <x:c r="S18" s="383"/>
      <x:c r="T18" s="383"/>
      <x:c r="U18" s="383"/>
      <x:c r="V18" s="586"/>
      <x:c r="W18" s="587"/>
    </x:row>
    <x:row r="19" ht="22" customHeight="1">
      <x:c r="A19" s="625">
        <x:v>14</x:v>
      </x:c>
      <x:c r="B19" s="626" t="s">
        <x:v>53</x:v>
      </x:c>
      <x:c r="C19" s="627" t="n">
        <x:f>_xlfn.XLOOKUP(H19,MANUS!$A$5:$A$25,MANUS!$B$5:$B$25,0,0)</x:f>
        <x:v>336200</x:v>
      </x:c>
      <x:c r="D19" s="628" t="n">
        <x:f>IFERROR(_xlfn.XLOOKUP(H19,MANUS!$A$5:$A$25,MANUS!$C$5:$C$25),0)</x:f>
        <x:v>247400</x:v>
      </x:c>
      <x:c r="E19" s="628">
        <x:f t="shared" ca="1" si="0"/>
        <x:v>336200</x:v>
      </x:c>
      <x:c r="F19" s="628">
        <x:f t="shared" ca="1" si="1"/>
        <x:v>0</x:v>
      </x:c>
      <x:c r="G19" s="629">
        <x:f t="shared" si="2"/>
        <x:v>-15483300</x:v>
      </x:c>
      <x:c r="H19" s="415" t="s">
        <x:v>53</x:v>
      </x:c>
      <x:c r="I19" s="415"/>
      <x:c r="J19" s="415" t="s">
        <x:v>19</x:v>
      </x:c>
      <x:c r="K19" s="630" t="s">
        <x:v>76</x:v>
      </x:c>
      <x:c r="L19" s="631"/>
      <x:c r="M19" s="631" t="n">
        <x:f>SUMIF('[1]SAVDO BALANS'!$BK:$BK,K19,'[1]SAVDO BALANS'!$BL:$BL)</x:f>
        <x:v>0</x:v>
      </x:c>
      <x:c r="N19" s="631" t="n" cm="1">
        <x:f t="array" aca="1" ref="N19" ca="1">IFERROR(_xlfn.XLOOKUP($A$3,'[1]SAVDO BALANS'!$AE$11:$BH$11,_xlfn.XLOOKUP($K19,'[1]SAVDO BALANS'!$AD$13:$AD$130,'[1]SAVDO BALANS'!$AE$13:$BH$130)),0)</x:f>
        <x:v>0</x:v>
      </x:c>
      <x:c r="O19" s="415"/>
      <x:c r="P19" s="415"/>
      <x:c r="Q19" s="415"/>
      <x:c r="R19" s="415"/>
      <x:c r="S19" s="415"/>
      <x:c r="T19" s="415"/>
      <x:c r="U19" s="415"/>
      <x:c r="V19" s="624"/>
      <x:c r="W19" s="415"/>
    </x:row>
    <x:row r="20" ht="22" customHeight="1">
      <x:c r="A20" s="588">
        <x:v>15</x:v>
      </x:c>
      <x:c r="B20" s="589" t="s">
        <x:v>37</x:v>
      </x:c>
      <x:c r="C20" s="590" t="n">
        <x:f>_xlfn.XLOOKUP(H20,MANUS!$A$5:$A$25,MANUS!$B$5:$B$25,0,0)</x:f>
        <x:v>1721300</x:v>
      </x:c>
      <x:c r="D20" s="591" t="n">
        <x:f>IFERROR(_xlfn.XLOOKUP(H20,MANUS!$A$5:$A$25,MANUS!$C$5:$C$25),0)</x:f>
        <x:v>1721300</x:v>
      </x:c>
      <x:c r="E20" s="591">
        <x:f t="shared" ca="1" si="0"/>
        <x:v>1721300</x:v>
      </x:c>
      <x:c r="F20" s="591">
        <x:f t="shared" ca="1" si="1"/>
        <x:v>0</x:v>
      </x:c>
      <x:c r="G20" s="592">
        <x:f t="shared" si="2"/>
        <x:v>-83072608</x:v>
      </x:c>
      <x:c r="H20" s="383" t="s">
        <x:v>37</x:v>
      </x:c>
      <x:c r="I20" s="383"/>
      <x:c r="J20" s="383" t="s">
        <x:v>189</x:v>
      </x:c>
      <x:c r="K20" s="593" t="s">
        <x:v>200</x:v>
      </x:c>
      <x:c r="L20" s="594"/>
      <x:c r="M20" s="594" t="n">
        <x:f>SUMIF('[1]SAVDO BALANS'!$BK:$BK,K20,'[1]SAVDO BALANS'!$BL:$BL)</x:f>
        <x:v>0</x:v>
      </x:c>
      <x:c r="N20" s="594" t="n" cm="1">
        <x:f t="array" aca="1" ref="N20" ca="1">IFERROR(_xlfn.XLOOKUP($A$3,'[1]SAVDO BALANS'!$AE$11:$BH$11,_xlfn.XLOOKUP($K20,'[1]SAVDO BALANS'!$AD$13:$AD$130,'[1]SAVDO BALANS'!$AE$13:$BH$130)),0)</x:f>
        <x:v>0</x:v>
      </x:c>
      <x:c r="O20" s="383"/>
      <x:c r="P20" s="383"/>
      <x:c r="Q20" s="383"/>
      <x:c r="R20" s="383"/>
      <x:c r="S20" s="383"/>
      <x:c r="T20" s="383"/>
      <x:c r="U20" s="383"/>
      <x:c r="V20" s="586"/>
      <x:c r="W20" s="587"/>
    </x:row>
    <x:row r="21" ht="22" customHeight="1">
      <x:c r="A21" s="625">
        <x:v>16</x:v>
      </x:c>
      <x:c r="B21" s="626" t="s">
        <x:v>45</x:v>
      </x:c>
      <x:c r="C21" s="627" t="n">
        <x:f>_xlfn.XLOOKUP(H21,MANUS!$A$5:$A$25,MANUS!$B$5:$B$25,0,0)</x:f>
        <x:v>725200</x:v>
      </x:c>
      <x:c r="D21" s="628" t="n">
        <x:f>IFERROR(_xlfn.XLOOKUP(H21,MANUS!$A$5:$A$25,MANUS!$C$5:$C$25),0)</x:f>
        <x:v>725200</x:v>
      </x:c>
      <x:c r="E21" s="628">
        <x:f t="shared" ca="1" si="0"/>
        <x:v>725200</x:v>
      </x:c>
      <x:c r="F21" s="628">
        <x:f t="shared" ca="1" si="1"/>
        <x:v>0</x:v>
      </x:c>
      <x:c r="G21" s="629">
        <x:f t="shared" si="2"/>
        <x:v>-10698100</x:v>
      </x:c>
      <x:c r="H21" s="415" t="s">
        <x:v>45</x:v>
      </x:c>
      <x:c r="I21" s="415"/>
      <x:c r="J21" s="415" t="s">
        <x:v>189</x:v>
      </x:c>
      <x:c r="K21" s="630" t="s">
        <x:v>77</x:v>
      </x:c>
      <x:c r="L21" s="631"/>
      <x:c r="M21" s="631" t="n">
        <x:f>SUMIF('[1]SAVDO BALANS'!$BK:$BK,K21,'[1]SAVDO BALANS'!$BL:$BL)</x:f>
        <x:v>0</x:v>
      </x:c>
      <x:c r="N21" s="631" t="n" cm="1">
        <x:f t="array" aca="1" ref="N21" ca="1">IFERROR(_xlfn.XLOOKUP($A$3,'[1]SAVDO BALANS'!$AE$11:$BH$11,_xlfn.XLOOKUP($K21,'[1]SAVDO BALANS'!$AD$13:$AD$130,'[1]SAVDO BALANS'!$AE$13:$BH$130)),0)</x:f>
        <x:v>0</x:v>
      </x:c>
      <x:c r="O21" s="415"/>
      <x:c r="P21" s="415"/>
      <x:c r="Q21" s="415"/>
      <x:c r="R21" s="415"/>
      <x:c r="S21" s="415"/>
      <x:c r="T21" s="415"/>
      <x:c r="U21" s="415"/>
      <x:c r="V21" s="624"/>
      <x:c r="W21" s="415"/>
    </x:row>
    <x:row r="22" ht="22" customHeight="1">
      <x:c r="A22" s="588">
        <x:v>17</x:v>
      </x:c>
      <x:c r="B22" s="589" t="s">
        <x:v>47</x:v>
      </x:c>
      <x:c r="C22" s="590" t="n">
        <x:f>_xlfn.XLOOKUP(H22,MANUS!$A$5:$A$25,MANUS!$B$5:$B$25,0,0)</x:f>
        <x:v>539800</x:v>
      </x:c>
      <x:c r="D22" s="591" t="n">
        <x:f>IFERROR(_xlfn.XLOOKUP(H22,MANUS!$A$5:$A$25,MANUS!$C$5:$C$25),0)</x:f>
        <x:v>539800</x:v>
      </x:c>
      <x:c r="E22" s="591">
        <x:f t="shared" ca="1" si="0"/>
        <x:v>539800</x:v>
      </x:c>
      <x:c r="F22" s="591">
        <x:f t="shared" ca="1" si="1"/>
        <x:v>0</x:v>
      </x:c>
      <x:c r="G22" s="592">
        <x:f t="shared" si="2"/>
        <x:v>-74431499.900000006</x:v>
      </x:c>
      <x:c r="H22" s="383" t="s">
        <x:v>47</x:v>
      </x:c>
      <x:c r="I22" s="383"/>
      <x:c r="J22" s="383" t="s">
        <x:v>189</x:v>
      </x:c>
      <x:c r="K22" s="593" t="s">
        <x:v>201</x:v>
      </x:c>
      <x:c r="L22" s="594"/>
      <x:c r="M22" s="594" t="n">
        <x:f>SUMIF('[1]SAVDO BALANS'!$BK:$BK,K22,'[1]SAVDO BALANS'!$BL:$BL)</x:f>
        <x:v>0</x:v>
      </x:c>
      <x:c r="N22" s="594" t="n" cm="1">
        <x:f t="array" aca="1" ref="N22" ca="1">IFERROR(_xlfn.XLOOKUP($A$3,'[1]SAVDO BALANS'!$AE$11:$BH$11,_xlfn.XLOOKUP($K22,'[1]SAVDO BALANS'!$AD$13:$AD$130,'[1]SAVDO BALANS'!$AE$13:$BH$130)),0)</x:f>
        <x:v>0</x:v>
      </x:c>
      <x:c r="O22" s="383"/>
      <x:c r="P22" s="383"/>
      <x:c r="Q22" s="383"/>
      <x:c r="R22" s="383"/>
      <x:c r="S22" s="383"/>
      <x:c r="T22" s="383"/>
      <x:c r="U22" s="383"/>
      <x:c r="V22" s="586"/>
      <x:c r="W22" s="587"/>
    </x:row>
    <x:row r="23" ht="22" customHeight="1">
      <x:c r="A23" s="625">
        <x:v>18</x:v>
      </x:c>
      <x:c r="B23" s="626" t="s">
        <x:v>21</x:v>
      </x:c>
      <x:c r="C23" s="627" t="n">
        <x:f>_xlfn.XLOOKUP(H23,MANUS!$A$5:$A$25,MANUS!$B$5:$B$25,0,0)</x:f>
        <x:v>707200</x:v>
      </x:c>
      <x:c r="D23" s="628" t="n">
        <x:f>IFERROR(_xlfn.XLOOKUP(H23,MANUS!$A$5:$A$25,MANUS!$C$5:$C$25),0)</x:f>
        <x:v>707200</x:v>
      </x:c>
      <x:c r="E23" s="628">
        <x:f t="shared" ca="1" si="0"/>
        <x:v>707200</x:v>
      </x:c>
      <x:c r="F23" s="632">
        <x:f t="shared" ca="1" si="1"/>
        <x:v>0</x:v>
      </x:c>
      <x:c r="G23" s="629">
        <x:f t="shared" si="2"/>
        <x:v>-41255240</x:v>
      </x:c>
      <x:c r="H23" s="415" t="s">
        <x:v>21</x:v>
      </x:c>
      <x:c r="I23" s="415"/>
      <x:c r="J23" s="415" t="s">
        <x:v>189</x:v>
      </x:c>
      <x:c r="K23" s="630" t="s">
        <x:v>202</x:v>
      </x:c>
      <x:c r="L23" s="631"/>
      <x:c r="M23" s="631" t="n">
        <x:f>SUMIF('[1]SAVDO BALANS'!$BK:$BK,K23,'[1]SAVDO BALANS'!$BL:$BL)</x:f>
        <x:v>0</x:v>
      </x:c>
      <x:c r="N23" s="631" t="n" cm="1">
        <x:f t="array" aca="1" ref="N23" ca="1">IFERROR(_xlfn.XLOOKUP($A$3,'[1]SAVDO BALANS'!$AE$11:$BH$11,_xlfn.XLOOKUP($K23,'[1]SAVDO BALANS'!$AD$13:$AD$130,'[1]SAVDO BALANS'!$AE$13:$BH$130)),0)</x:f>
        <x:v>0</x:v>
      </x:c>
      <x:c r="O23" s="415"/>
      <x:c r="P23" s="415"/>
      <x:c r="Q23" s="415"/>
      <x:c r="R23" s="415"/>
      <x:c r="S23" s="415"/>
      <x:c r="T23" s="415"/>
      <x:c r="U23" s="415"/>
      <x:c r="V23" s="624"/>
      <x:c r="W23" s="415"/>
    </x:row>
    <x:row r="24" ht="22" customHeight="1">
      <x:c r="A24" s="588">
        <x:v>19</x:v>
      </x:c>
      <x:c r="B24" s="589" t="s">
        <x:v>49</x:v>
      </x:c>
      <x:c r="C24" s="590" t="n">
        <x:f>_xlfn.XLOOKUP(H24,MANUS!$A$5:$A$25,MANUS!$B$5:$B$25,0,0)</x:f>
        <x:v>11364800</x:v>
      </x:c>
      <x:c r="D24" s="591" t="n">
        <x:f>IFERROR(_xlfn.XLOOKUP(H24,MANUS!$A$5:$A$25,MANUS!$C$5:$C$25),0)</x:f>
        <x:v>7728100</x:v>
      </x:c>
      <x:c r="E24" s="591">
        <x:f t="shared" ca="1" si="0"/>
        <x:v>11364800</x:v>
      </x:c>
      <x:c r="F24" s="591">
        <x:f t="shared" ca="1" si="1"/>
        <x:v>0</x:v>
      </x:c>
      <x:c r="G24" s="592">
        <x:f t="shared" si="2"/>
        <x:v>-88340982</x:v>
      </x:c>
      <x:c r="H24" s="383" t="s">
        <x:v>49</x:v>
      </x:c>
      <x:c r="I24" s="383"/>
      <x:c r="J24" s="383" t="s">
        <x:v>189</x:v>
      </x:c>
      <x:c r="K24" s="593" t="s">
        <x:v>78</x:v>
      </x:c>
      <x:c r="L24" s="594"/>
      <x:c r="M24" s="594" t="n">
        <x:f>SUMIF('[1]SAVDO BALANS'!$BK:$BK,K24,'[1]SAVDO BALANS'!$BL:$BL)</x:f>
        <x:v>0</x:v>
      </x:c>
      <x:c r="N24" s="594" t="n" cm="1">
        <x:f t="array" aca="1" ref="N24" ca="1">IFERROR(_xlfn.XLOOKUP($A$3,'[1]SAVDO BALANS'!$AE$11:$BH$11,_xlfn.XLOOKUP($K24,'[1]SAVDO BALANS'!$AD$13:$AD$130,'[1]SAVDO BALANS'!$AE$13:$BH$130)),0)</x:f>
        <x:v>0</x:v>
      </x:c>
      <x:c r="O24" s="383"/>
      <x:c r="P24" s="383"/>
      <x:c r="Q24" s="383"/>
      <x:c r="R24" s="383"/>
      <x:c r="S24" s="383"/>
      <x:c r="T24" s="383"/>
      <x:c r="U24" s="383"/>
      <x:c r="V24" s="586"/>
      <x:c r="W24" s="587"/>
    </x:row>
    <x:row r="25" ht="22" customHeight="1">
      <x:c r="A25" s="625">
        <x:v>20</x:v>
      </x:c>
      <x:c r="B25" s="626" t="s">
        <x:v>33</x:v>
      </x:c>
      <x:c r="C25" s="627" t="n">
        <x:f>_xlfn.XLOOKUP(H25,MANUS!$A$5:$A$25,MANUS!$B$5:$B$25,0,0)</x:f>
        <x:v>2185600</x:v>
      </x:c>
      <x:c r="D25" s="628" t="n">
        <x:f>IFERROR(_xlfn.XLOOKUP(H25,MANUS!$A$5:$A$25,MANUS!$C$5:$C$25),0)</x:f>
        <x:v>1655000</x:v>
      </x:c>
      <x:c r="E25" s="628">
        <x:f t="shared" ca="1" si="0"/>
        <x:v>2185600</x:v>
      </x:c>
      <x:c r="F25" s="628">
        <x:f t="shared" ca="1" si="1"/>
        <x:v>0</x:v>
      </x:c>
      <x:c r="G25" s="629">
        <x:f t="shared" si="2"/>
        <x:v>-52825700</x:v>
      </x:c>
      <x:c r="H25" s="415" t="s">
        <x:v>33</x:v>
      </x:c>
      <x:c r="I25" s="415"/>
      <x:c r="J25" s="415" t="s">
        <x:v>189</x:v>
      </x:c>
      <x:c r="K25" s="630" t="s">
        <x:v>203</x:v>
      </x:c>
      <x:c r="L25" s="631"/>
      <x:c r="M25" s="631" t="n">
        <x:f>SUMIF('[1]SAVDO BALANS'!$BK:$BK,K25,'[1]SAVDO BALANS'!$BL:$BL)</x:f>
        <x:v>0</x:v>
      </x:c>
      <x:c r="N25" s="631" t="n" cm="1">
        <x:f t="array" aca="1" ref="N25" ca="1">IFERROR(_xlfn.XLOOKUP($A$3,'[1]SAVDO BALANS'!$AE$11:$BH$11,_xlfn.XLOOKUP($K25,'[1]SAVDO BALANS'!$AD$13:$AD$130,'[1]SAVDO BALANS'!$AE$13:$BH$130)),0)</x:f>
        <x:v>0</x:v>
      </x:c>
      <x:c r="O25" s="415"/>
      <x:c r="P25" s="415"/>
      <x:c r="Q25" s="415"/>
      <x:c r="R25" s="415"/>
      <x:c r="S25" s="415"/>
      <x:c r="T25" s="415"/>
      <x:c r="U25" s="415"/>
      <x:c r="V25" s="624"/>
      <x:c r="W25" s="415"/>
    </x:row>
    <x:row r="26" ht="22" customHeight="1">
      <x:c r="A26" s="480"/>
      <x:c r="B26" s="383"/>
      <x:c r="C26" s="383"/>
      <x:c r="D26" s="383"/>
      <x:c r="E26" s="594" t="n">
        <x:f ca="1">E5-N5</x:f>
        <x:v>73908300</x:v>
      </x:c>
      <x:c r="F26" s="383"/>
      <x:c r="G26" s="383"/>
      <x:c r="H26" s="383"/>
      <x:c r="I26" s="383"/>
      <x:c r="J26" s="383" t="s">
        <x:v>189</x:v>
      </x:c>
      <x:c r="K26" s="593" t="s">
        <x:v>204</x:v>
      </x:c>
      <x:c r="L26" s="594"/>
      <x:c r="M26" s="594" t="n">
        <x:f>SUMIF('[1]SAVDO BALANS'!$BK:$BK,K26,'[1]SAVDO BALANS'!$BL:$BL)</x:f>
        <x:v>0</x:v>
      </x:c>
      <x:c r="N26" s="594" t="n" cm="1">
        <x:f t="array" aca="1" ref="N26" ca="1">IFERROR(_xlfn.XLOOKUP($A$3,'[1]SAVDO BALANS'!$AE$11:$BH$11,_xlfn.XLOOKUP($K26,'[1]SAVDO BALANS'!$AD$13:$AD$130,'[1]SAVDO BALANS'!$AE$13:$BH$130)),0)</x:f>
        <x:v>0</x:v>
      </x:c>
      <x:c r="O26" s="383"/>
      <x:c r="P26" s="383"/>
      <x:c r="Q26" s="383"/>
      <x:c r="R26" s="383"/>
      <x:c r="S26" s="383"/>
      <x:c r="T26" s="383"/>
      <x:c r="U26" s="383"/>
      <x:c r="V26" s="586"/>
      <x:c r="W26" s="383"/>
    </x:row>
    <x:row r="27" ht="22" customHeight="1">
      <x:c r="A27" s="479"/>
      <x:c r="B27" s="415"/>
      <x:c r="C27" s="631"/>
      <x:c r="D27" s="631"/>
      <x:c r="E27" s="415"/>
      <x:c r="F27" s="415"/>
      <x:c r="G27" s="631"/>
      <x:c r="H27" s="415"/>
      <x:c r="I27" s="415"/>
      <x:c r="J27" s="415" t="s">
        <x:v>189</x:v>
      </x:c>
      <x:c r="K27" s="630" t="s">
        <x:v>205</x:v>
      </x:c>
      <x:c r="L27" s="631"/>
      <x:c r="M27" s="631" t="n">
        <x:f>SUMIF('[1]SAVDO BALANS'!$BK:$BK,K27,'[1]SAVDO BALANS'!$BL:$BL)</x:f>
        <x:v>0</x:v>
      </x:c>
      <x:c r="N27" s="631" t="n" cm="1">
        <x:f t="array" aca="1" ref="N27" ca="1">IFERROR(_xlfn.XLOOKUP($A$3,'[1]SAVDO BALANS'!$AE$11:$BH$11,_xlfn.XLOOKUP($K27,'[1]SAVDO BALANS'!$AD$13:$AD$130,'[1]SAVDO BALANS'!$AE$13:$BH$130)),0)</x:f>
        <x:v>0</x:v>
      </x:c>
      <x:c r="O27" s="415"/>
      <x:c r="P27" s="415"/>
      <x:c r="Q27" s="415"/>
      <x:c r="R27" s="415"/>
      <x:c r="S27" s="415"/>
      <x:c r="T27" s="415"/>
      <x:c r="U27" s="415"/>
      <x:c r="V27" s="624"/>
      <x:c r="W27" s="415"/>
    </x:row>
    <x:row r="28" ht="22" customHeight="1">
      <x:c r="A28" s="480"/>
      <x:c r="B28" s="383"/>
      <x:c r="C28" s="383"/>
      <x:c r="D28" s="383"/>
      <x:c r="E28" s="383"/>
      <x:c r="F28" s="383"/>
      <x:c r="G28" s="383"/>
      <x:c r="H28" s="383"/>
      <x:c r="I28" s="383"/>
      <x:c r="J28" s="383" t="s">
        <x:v>189</x:v>
      </x:c>
      <x:c r="K28" s="593" t="s">
        <x:v>206</x:v>
      </x:c>
      <x:c r="L28" s="594"/>
      <x:c r="M28" s="594" t="n">
        <x:f>SUMIF('[1]SAVDO BALANS'!$BK:$BK,K28,'[1]SAVDO BALANS'!$BL:$BL)</x:f>
        <x:v>0</x:v>
      </x:c>
      <x:c r="N28" s="594" t="n" cm="1">
        <x:f t="array" aca="1" ref="N28" ca="1">IFERROR(_xlfn.XLOOKUP($A$3,'[1]SAVDO BALANS'!$AE$11:$BH$11,_xlfn.XLOOKUP($K28,'[1]SAVDO BALANS'!$AD$13:$AD$130,'[1]SAVDO BALANS'!$AE$13:$BH$130)),0)</x:f>
        <x:v>0</x:v>
      </x:c>
      <x:c r="O28" s="383"/>
      <x:c r="P28" s="383"/>
      <x:c r="Q28" s="383"/>
      <x:c r="R28" s="383"/>
      <x:c r="S28" s="383"/>
      <x:c r="T28" s="383"/>
      <x:c r="U28" s="383"/>
      <x:c r="V28" s="383"/>
      <x:c r="W28" s="383"/>
    </x:row>
    <x:row r="29" ht="22" customHeight="1">
      <x:c r="A29" s="479"/>
      <x:c r="B29" s="415"/>
      <x:c r="C29" s="415"/>
      <x:c r="D29" s="415"/>
      <x:c r="E29" s="415"/>
      <x:c r="F29" s="415"/>
      <x:c r="G29" s="415"/>
      <x:c r="H29" s="415"/>
      <x:c r="I29" s="415"/>
      <x:c r="J29" s="415" t="s">
        <x:v>189</x:v>
      </x:c>
      <x:c r="K29" s="630" t="s">
        <x:v>207</x:v>
      </x:c>
      <x:c r="L29" s="631"/>
      <x:c r="M29" s="631" t="n">
        <x:f>SUMIF('[1]SAVDO BALANS'!$BK:$BK,K29,'[1]SAVDO BALANS'!$BL:$BL)</x:f>
        <x:v>0</x:v>
      </x:c>
      <x:c r="N29" s="631" t="n" cm="1">
        <x:f t="array" aca="1" ref="N29" ca="1">IFERROR(_xlfn.XLOOKUP($A$3,'[1]SAVDO BALANS'!$AE$11:$BH$11,_xlfn.XLOOKUP($K29,'[1]SAVDO BALANS'!$AD$13:$AD$130,'[1]SAVDO BALANS'!$AE$13:$BH$130)),0)</x:f>
        <x:v>0</x:v>
      </x:c>
      <x:c r="O29" s="415"/>
      <x:c r="P29" s="415"/>
      <x:c r="Q29" s="415"/>
      <x:c r="R29" s="415"/>
      <x:c r="S29" s="415"/>
      <x:c r="T29" s="415"/>
      <x:c r="U29" s="415"/>
      <x:c r="V29" s="415"/>
      <x:c r="W29" s="415"/>
    </x:row>
    <x:row r="30" ht="22" customHeight="1">
      <x:c r="A30" s="480"/>
      <x:c r="B30" s="383"/>
      <x:c r="C30" s="383"/>
      <x:c r="D30" s="383"/>
      <x:c r="E30" s="383"/>
      <x:c r="F30" s="383"/>
      <x:c r="G30" s="383"/>
      <x:c r="H30" s="383"/>
      <x:c r="I30" s="383"/>
      <x:c r="J30" s="383" t="s">
        <x:v>25</x:v>
      </x:c>
      <x:c r="K30" s="593" t="s">
        <x:v>79</x:v>
      </x:c>
      <x:c r="L30" s="594"/>
      <x:c r="M30" s="594" t="n">
        <x:f>SUMIF('[1]SAVDO BALANS'!$BK:$BK,K30,'[1]SAVDO BALANS'!$BL:$BL)</x:f>
        <x:v>0</x:v>
      </x:c>
      <x:c r="N30" s="594" t="n" cm="1">
        <x:f t="array" aca="1" ref="N30" ca="1">IFERROR(_xlfn.XLOOKUP($A$3,'[1]SAVDO BALANS'!$AE$11:$BH$11,_xlfn.XLOOKUP($K30,'[1]SAVDO BALANS'!$AD$13:$AD$130,'[1]SAVDO BALANS'!$AE$13:$BH$130)),0)</x:f>
        <x:v>0</x:v>
      </x:c>
      <x:c r="O30" s="383"/>
      <x:c r="P30" s="383"/>
      <x:c r="Q30" s="383"/>
      <x:c r="R30" s="383"/>
      <x:c r="S30" s="383"/>
      <x:c r="T30" s="383"/>
      <x:c r="U30" s="383"/>
      <x:c r="V30" s="383"/>
      <x:c r="W30" s="383"/>
    </x:row>
    <x:row r="31" ht="22" customHeight="1">
      <x:c r="A31" s="637"/>
      <x:c r="B31" s="415"/>
      <x:c r="C31" s="415"/>
      <x:c r="D31" s="415"/>
      <x:c r="E31" s="415"/>
      <x:c r="F31" s="631"/>
      <x:c r="G31" s="415"/>
      <x:c r="H31" s="415"/>
      <x:c r="I31" s="631"/>
      <x:c r="J31" s="415" t="s">
        <x:v>25</x:v>
      </x:c>
      <x:c r="K31" s="630" t="s">
        <x:v>80</x:v>
      </x:c>
      <x:c r="L31" s="631"/>
      <x:c r="M31" s="631" t="n">
        <x:f>SUMIF('[1]SAVDO BALANS'!$BK:$BK,K31,'[1]SAVDO BALANS'!$BL:$BL)</x:f>
        <x:v>0</x:v>
      </x:c>
      <x:c r="N31" s="631" t="n" cm="1">
        <x:f t="array" aca="1" ref="N31" ca="1">IFERROR(_xlfn.XLOOKUP($A$3,'[1]SAVDO BALANS'!$AE$11:$BH$11,_xlfn.XLOOKUP($K31,'[1]SAVDO BALANS'!$AD$13:$AD$130,'[1]SAVDO BALANS'!$AE$13:$BH$130)),0)</x:f>
        <x:v>0</x:v>
      </x:c>
      <x:c r="O31" s="631"/>
      <x:c r="P31" s="631"/>
      <x:c r="Q31" s="631"/>
      <x:c r="R31" s="631"/>
      <x:c r="S31" s="631"/>
      <x:c r="T31" s="631"/>
      <x:c r="U31" s="631"/>
      <x:c r="V31" s="415"/>
      <x:c r="W31" s="415"/>
    </x:row>
    <x:row r="32" ht="22" customHeight="1">
      <x:c r="A32" s="638"/>
      <x:c r="B32" s="383"/>
      <x:c r="C32" s="383"/>
      <x:c r="D32" s="383"/>
      <x:c r="E32" s="383"/>
      <x:c r="F32" s="594"/>
      <x:c r="G32" s="383"/>
      <x:c r="H32" s="383"/>
      <x:c r="I32" s="594"/>
      <x:c r="J32" s="383" t="s">
        <x:v>45</x:v>
      </x:c>
      <x:c r="K32" s="593" t="s">
        <x:v>208</x:v>
      </x:c>
      <x:c r="L32" s="594"/>
      <x:c r="M32" s="594" t="n">
        <x:f>SUMIF('[1]SAVDO BALANS'!$BK:$BK,K32,'[1]SAVDO BALANS'!$BL:$BL)</x:f>
        <x:v>0</x:v>
      </x:c>
      <x:c r="N32" s="594" t="n" cm="1">
        <x:f t="array" aca="1" ref="N32" ca="1">IFERROR(_xlfn.XLOOKUP($A$3,'[1]SAVDO BALANS'!$AE$11:$BH$11,_xlfn.XLOOKUP($K32,'[1]SAVDO BALANS'!$AD$13:$AD$130,'[1]SAVDO BALANS'!$AE$13:$BH$130)),0)</x:f>
        <x:v>0</x:v>
      </x:c>
      <x:c r="O32" s="594"/>
      <x:c r="P32" s="594"/>
      <x:c r="Q32" s="594"/>
      <x:c r="R32" s="594"/>
      <x:c r="S32" s="594"/>
      <x:c r="T32" s="594"/>
      <x:c r="U32" s="594"/>
      <x:c r="V32" s="383"/>
      <x:c r="W32" s="383"/>
    </x:row>
    <x:row r="33" ht="22" customHeight="1">
      <x:c r="A33" s="637"/>
      <x:c r="B33" s="415"/>
      <x:c r="C33" s="415"/>
      <x:c r="D33" s="415"/>
      <x:c r="E33" s="415"/>
      <x:c r="F33" s="415"/>
      <x:c r="G33" s="415"/>
      <x:c r="H33" s="415"/>
      <x:c r="I33" s="415"/>
      <x:c r="J33" s="415" t="s">
        <x:v>45</x:v>
      </x:c>
      <x:c r="K33" s="630" t="s">
        <x:v>209</x:v>
      </x:c>
      <x:c r="L33" s="631"/>
      <x:c r="M33" s="631" t="n">
        <x:f>SUMIF('[1]SAVDO BALANS'!$BK:$BK,K33,'[1]SAVDO BALANS'!$BL:$BL)</x:f>
        <x:v>0</x:v>
      </x:c>
      <x:c r="N33" s="631" t="n" cm="1">
        <x:f t="array" aca="1" ref="N33" ca="1">IFERROR(_xlfn.XLOOKUP($A$3,'[1]SAVDO BALANS'!$AE$11:$BH$11,_xlfn.XLOOKUP($K33,'[1]SAVDO BALANS'!$AD$13:$AD$130,'[1]SAVDO BALANS'!$AE$13:$BH$130)),0)</x:f>
        <x:v>0</x:v>
      </x:c>
      <x:c r="O33" s="415"/>
      <x:c r="P33" s="415"/>
      <x:c r="Q33" s="415"/>
      <x:c r="R33" s="415"/>
      <x:c r="S33" s="415"/>
      <x:c r="T33" s="415"/>
      <x:c r="U33" s="415"/>
      <x:c r="V33" s="415"/>
      <x:c r="W33" s="415"/>
    </x:row>
    <x:row r="34" ht="22" customHeight="1">
      <x:c r="A34" s="638"/>
      <x:c r="B34" s="383"/>
      <x:c r="C34" s="383"/>
      <x:c r="D34" s="383"/>
      <x:c r="E34" s="383"/>
      <x:c r="F34" s="594"/>
      <x:c r="G34" s="383"/>
      <x:c r="H34" s="383"/>
      <x:c r="I34" s="594"/>
      <x:c r="J34" s="383" t="s">
        <x:v>45</x:v>
      </x:c>
      <x:c r="K34" s="593" t="s">
        <x:v>210</x:v>
      </x:c>
      <x:c r="L34" s="594"/>
      <x:c r="M34" s="594" t="n">
        <x:f>SUMIF('[1]SAVDO BALANS'!$BK:$BK,K34,'[1]SAVDO BALANS'!$BL:$BL)</x:f>
        <x:v>0</x:v>
      </x:c>
      <x:c r="N34" s="594" t="n" cm="1">
        <x:f t="array" aca="1" ref="N34" ca="1">IFERROR(_xlfn.XLOOKUP($A$3,'[1]SAVDO BALANS'!$AE$11:$BH$11,_xlfn.XLOOKUP($K34,'[1]SAVDO BALANS'!$AD$13:$AD$130,'[1]SAVDO BALANS'!$AE$13:$BH$130)),0)</x:f>
        <x:v>0</x:v>
      </x:c>
      <x:c r="O34" s="594"/>
      <x:c r="P34" s="594"/>
      <x:c r="Q34" s="594"/>
      <x:c r="R34" s="594"/>
      <x:c r="S34" s="594"/>
      <x:c r="T34" s="594"/>
      <x:c r="U34" s="594"/>
      <x:c r="V34" s="383"/>
      <x:c r="W34" s="383"/>
    </x:row>
    <x:row r="35" ht="22" customHeight="1">
      <x:c r="A35" s="637"/>
      <x:c r="B35" s="415"/>
      <x:c r="C35" s="415"/>
      <x:c r="D35" s="415"/>
      <x:c r="E35" s="415"/>
      <x:c r="F35" s="415"/>
      <x:c r="G35" s="415"/>
      <x:c r="H35" s="415"/>
      <x:c r="I35" s="415"/>
      <x:c r="J35" s="415" t="s">
        <x:v>41</x:v>
      </x:c>
      <x:c r="K35" s="630" t="s">
        <x:v>211</x:v>
      </x:c>
      <x:c r="L35" s="631"/>
      <x:c r="M35" s="631" t="n">
        <x:f>SUMIF('[1]SAVDO BALANS'!$BK:$BK,K35,'[1]SAVDO BALANS'!$BL:$BL)</x:f>
        <x:v>0</x:v>
      </x:c>
      <x:c r="N35" s="631" t="n" cm="1">
        <x:f t="array" aca="1" ref="N35" ca="1">IFERROR(_xlfn.XLOOKUP($A$3,'[1]SAVDO BALANS'!$AE$11:$BH$11,_xlfn.XLOOKUP($K35,'[1]SAVDO BALANS'!$AD$13:$AD$130,'[1]SAVDO BALANS'!$AE$13:$BH$130)),0)</x:f>
        <x:v>0</x:v>
      </x:c>
      <x:c r="O35" s="415"/>
      <x:c r="P35" s="415"/>
      <x:c r="Q35" s="415"/>
      <x:c r="R35" s="415"/>
      <x:c r="S35" s="415"/>
      <x:c r="T35" s="415"/>
      <x:c r="U35" s="415"/>
      <x:c r="V35" s="415"/>
      <x:c r="W35" s="415"/>
    </x:row>
    <x:row r="36" ht="22" customHeight="1">
      <x:c r="A36" s="638"/>
      <x:c r="B36" s="383"/>
      <x:c r="C36" s="383"/>
      <x:c r="D36" s="383"/>
      <x:c r="E36" s="383"/>
      <x:c r="F36" s="383"/>
      <x:c r="G36" s="383"/>
      <x:c r="H36" s="383"/>
      <x:c r="I36" s="383"/>
      <x:c r="J36" s="383" t="s">
        <x:v>41</x:v>
      </x:c>
      <x:c r="K36" s="593" t="s">
        <x:v>81</x:v>
      </x:c>
      <x:c r="L36" s="594"/>
      <x:c r="M36" s="594" t="n">
        <x:f>SUMIF('[1]SAVDO BALANS'!$BK:$BK,K36,'[1]SAVDO BALANS'!$BL:$BL)</x:f>
        <x:v>0</x:v>
      </x:c>
      <x:c r="N36" s="594" t="n" cm="1">
        <x:f t="array" aca="1" ref="N36" ca="1">IFERROR(_xlfn.XLOOKUP($A$3,'[1]SAVDO BALANS'!$AE$11:$BH$11,_xlfn.XLOOKUP($K36,'[1]SAVDO BALANS'!$AD$13:$AD$130,'[1]SAVDO BALANS'!$AE$13:$BH$130)),0)</x:f>
        <x:v>0</x:v>
      </x:c>
      <x:c r="O36" s="383"/>
      <x:c r="P36" s="383"/>
      <x:c r="Q36" s="383"/>
      <x:c r="R36" s="383"/>
      <x:c r="S36" s="383"/>
      <x:c r="T36" s="383"/>
      <x:c r="U36" s="383"/>
      <x:c r="V36" s="383"/>
      <x:c r="W36" s="383"/>
    </x:row>
    <x:row r="37" ht="22" customHeight="1">
      <x:c r="A37" s="637"/>
      <x:c r="B37" s="415"/>
      <x:c r="C37" s="415"/>
      <x:c r="D37" s="415"/>
      <x:c r="E37" s="415"/>
      <x:c r="F37" s="415"/>
      <x:c r="G37" s="415"/>
      <x:c r="H37" s="415"/>
      <x:c r="I37" s="415"/>
      <x:c r="J37" s="415" t="s">
        <x:v>41</x:v>
      </x:c>
      <x:c r="K37" s="630" t="s">
        <x:v>82</x:v>
      </x:c>
      <x:c r="L37" s="631"/>
      <x:c r="M37" s="631" t="n">
        <x:f>SUMIF('[1]SAVDO BALANS'!$BK:$BK,K37,'[1]SAVDO BALANS'!$BL:$BL)</x:f>
        <x:v>0</x:v>
      </x:c>
      <x:c r="N37" s="631" t="n" cm="1">
        <x:f t="array" aca="1" ref="N37" ca="1">IFERROR(_xlfn.XLOOKUP($A$3,'[1]SAVDO BALANS'!$AE$11:$BH$11,_xlfn.XLOOKUP($K37,'[1]SAVDO BALANS'!$AD$13:$AD$130,'[1]SAVDO BALANS'!$AE$13:$BH$130)),0)</x:f>
        <x:v>0</x:v>
      </x:c>
      <x:c r="O37" s="415"/>
      <x:c r="P37" s="415"/>
      <x:c r="Q37" s="415"/>
      <x:c r="R37" s="415"/>
      <x:c r="S37" s="415"/>
      <x:c r="T37" s="415"/>
      <x:c r="U37" s="415"/>
      <x:c r="V37" s="415"/>
      <x:c r="W37" s="415"/>
    </x:row>
    <x:row r="38" ht="22" customHeight="1">
      <x:c r="A38" s="638"/>
      <x:c r="B38" s="383"/>
      <x:c r="C38" s="383"/>
      <x:c r="D38" s="383"/>
      <x:c r="E38" s="383"/>
      <x:c r="F38" s="383"/>
      <x:c r="G38" s="383"/>
      <x:c r="H38" s="383"/>
      <x:c r="I38" s="383"/>
      <x:c r="J38" s="383" t="s">
        <x:v>41</x:v>
      </x:c>
      <x:c r="K38" s="593" t="s">
        <x:v>83</x:v>
      </x:c>
      <x:c r="L38" s="594"/>
      <x:c r="M38" s="594" t="n">
        <x:f>SUMIF('[1]SAVDO BALANS'!$BK:$BK,K38,'[1]SAVDO BALANS'!$BL:$BL)</x:f>
        <x:v>0</x:v>
      </x:c>
      <x:c r="N38" s="594" t="n" cm="1">
        <x:f t="array" aca="1" ref="N38" ca="1">IFERROR(_xlfn.XLOOKUP($A$3,'[1]SAVDO BALANS'!$AE$11:$BH$11,_xlfn.XLOOKUP($K38,'[1]SAVDO BALANS'!$AD$13:$AD$130,'[1]SAVDO BALANS'!$AE$13:$BH$130)),0)</x:f>
        <x:v>0</x:v>
      </x:c>
      <x:c r="O38" s="383"/>
      <x:c r="P38" s="383"/>
      <x:c r="Q38" s="383"/>
      <x:c r="R38" s="383"/>
      <x:c r="S38" s="383"/>
      <x:c r="T38" s="383"/>
      <x:c r="U38" s="383"/>
      <x:c r="V38" s="383"/>
      <x:c r="W38" s="383"/>
    </x:row>
    <x:row r="39" ht="22" customHeight="1">
      <x:c r="A39" s="637"/>
      <x:c r="B39" s="415"/>
      <x:c r="C39" s="415"/>
      <x:c r="D39" s="415"/>
      <x:c r="E39" s="415"/>
      <x:c r="F39" s="415"/>
      <x:c r="G39" s="415"/>
      <x:c r="H39" s="415"/>
      <x:c r="I39" s="415"/>
      <x:c r="J39" s="415" t="s">
        <x:v>41</x:v>
      </x:c>
      <x:c r="K39" s="630" t="s">
        <x:v>84</x:v>
      </x:c>
      <x:c r="L39" s="631"/>
      <x:c r="M39" s="631" t="n">
        <x:f>SUMIF('[1]SAVDO BALANS'!$BK:$BK,K39,'[1]SAVDO BALANS'!$BL:$BL)</x:f>
        <x:v>0</x:v>
      </x:c>
      <x:c r="N39" s="631" t="n" cm="1">
        <x:f t="array" aca="1" ref="N39" ca="1">IFERROR(_xlfn.XLOOKUP($A$3,'[1]SAVDO BALANS'!$AE$11:$BH$11,_xlfn.XLOOKUP($K39,'[1]SAVDO BALANS'!$AD$13:$AD$130,'[1]SAVDO BALANS'!$AE$13:$BH$130)),0)</x:f>
        <x:v>0</x:v>
      </x:c>
      <x:c r="O39" s="415"/>
      <x:c r="P39" s="415"/>
      <x:c r="Q39" s="415"/>
      <x:c r="R39" s="415"/>
      <x:c r="S39" s="415"/>
      <x:c r="T39" s="415"/>
      <x:c r="U39" s="415"/>
      <x:c r="V39" s="415"/>
      <x:c r="W39" s="415"/>
    </x:row>
    <x:row r="40" ht="22" customHeight="1">
      <x:c r="A40" s="639"/>
      <x:c r="B40" s="383"/>
      <x:c r="C40" s="383"/>
      <x:c r="D40" s="383"/>
      <x:c r="E40" s="383"/>
      <x:c r="F40" s="383"/>
      <x:c r="G40" s="383"/>
      <x:c r="H40" s="383"/>
      <x:c r="I40" s="383"/>
      <x:c r="J40" s="383" t="s">
        <x:v>199</x:v>
      </x:c>
      <x:c r="K40" s="593" t="s">
        <x:v>85</x:v>
      </x:c>
      <x:c r="L40" s="594"/>
      <x:c r="M40" s="594" t="n">
        <x:f>SUMIF('[1]SAVDO BALANS'!$BK:$BK,K40,'[1]SAVDO BALANS'!$BL:$BL)</x:f>
        <x:v>0</x:v>
      </x:c>
      <x:c r="N40" s="594" t="n" cm="1">
        <x:f t="array" aca="1" ref="N40" ca="1">IFERROR(_xlfn.XLOOKUP($A$3,'[1]SAVDO BALANS'!$AE$11:$BH$11,_xlfn.XLOOKUP($K40,'[1]SAVDO BALANS'!$AD$13:$AD$130,'[1]SAVDO BALANS'!$AE$13:$BH$130)),0)</x:f>
        <x:v>0</x:v>
      </x:c>
      <x:c r="O40" s="383"/>
      <x:c r="P40" s="383"/>
      <x:c r="Q40" s="383"/>
      <x:c r="R40" s="383"/>
      <x:c r="S40" s="383"/>
      <x:c r="T40" s="383"/>
      <x:c r="U40" s="383"/>
      <x:c r="V40" s="383"/>
      <x:c r="W40" s="383"/>
    </x:row>
    <x:row r="41" ht="22" customHeight="1">
      <x:c r="A41" s="640"/>
      <x:c r="B41" s="415"/>
      <x:c r="C41" s="415"/>
      <x:c r="D41" s="415"/>
      <x:c r="E41" s="415"/>
      <x:c r="F41" s="415"/>
      <x:c r="G41" s="415"/>
      <x:c r="H41" s="415"/>
      <x:c r="I41" s="415"/>
      <x:c r="J41" s="415" t="s">
        <x:v>41</x:v>
      </x:c>
      <x:c r="K41" s="630" t="s">
        <x:v>86</x:v>
      </x:c>
      <x:c r="L41" s="631"/>
      <x:c r="M41" s="631" t="n">
        <x:f>SUMIF('[1]SAVDO BALANS'!$BK:$BK,K41,'[1]SAVDO BALANS'!$BL:$BL)</x:f>
        <x:v>0</x:v>
      </x:c>
      <x:c r="N41" s="631" t="n" cm="1">
        <x:f t="array" aca="1" ref="N41" ca="1">IFERROR(_xlfn.XLOOKUP($A$3,'[1]SAVDO BALANS'!$AE$11:$BH$11,_xlfn.XLOOKUP($K41,'[1]SAVDO BALANS'!$AD$13:$AD$130,'[1]SAVDO BALANS'!$AE$13:$BH$130)),0)</x:f>
        <x:v>0</x:v>
      </x:c>
      <x:c r="O41" s="415"/>
      <x:c r="P41" s="415"/>
      <x:c r="Q41" s="415"/>
      <x:c r="R41" s="415"/>
      <x:c r="S41" s="415"/>
      <x:c r="T41" s="415"/>
      <x:c r="U41" s="415"/>
      <x:c r="V41" s="415"/>
      <x:c r="W41" s="415"/>
    </x:row>
    <x:row r="42" ht="22" customHeight="1">
      <x:c r="A42" s="638"/>
      <x:c r="B42" s="383"/>
      <x:c r="C42" s="383"/>
      <x:c r="D42" s="383"/>
      <x:c r="E42" s="383"/>
      <x:c r="F42" s="383"/>
      <x:c r="G42" s="383"/>
      <x:c r="H42" s="383"/>
      <x:c r="I42" s="383"/>
      <x:c r="J42" s="383" t="s">
        <x:v>41</x:v>
      </x:c>
      <x:c r="K42" s="593" t="s">
        <x:v>87</x:v>
      </x:c>
      <x:c r="L42" s="594"/>
      <x:c r="M42" s="594" t="n">
        <x:f>SUMIF('[1]SAVDO BALANS'!$BK:$BK,K42,'[1]SAVDO BALANS'!$BL:$BL)</x:f>
        <x:v>0</x:v>
      </x:c>
      <x:c r="N42" s="594" t="n" cm="1">
        <x:f t="array" aca="1" ref="N42" ca="1">IFERROR(_xlfn.XLOOKUP($A$3,'[1]SAVDO BALANS'!$AE$11:$BH$11,_xlfn.XLOOKUP($K42,'[1]SAVDO BALANS'!$AD$13:$AD$130,'[1]SAVDO BALANS'!$AE$13:$BH$130)),0)</x:f>
        <x:v>0</x:v>
      </x:c>
      <x:c r="O42" s="383"/>
      <x:c r="P42" s="383"/>
      <x:c r="Q42" s="383"/>
      <x:c r="R42" s="383"/>
      <x:c r="S42" s="383"/>
      <x:c r="T42" s="383"/>
      <x:c r="U42" s="383"/>
      <x:c r="V42" s="383"/>
      <x:c r="W42" s="383"/>
    </x:row>
    <x:row r="43" ht="22" customHeight="1">
      <x:c r="A43" s="637"/>
      <x:c r="B43" s="415"/>
      <x:c r="C43" s="415"/>
      <x:c r="D43" s="415"/>
      <x:c r="E43" s="415"/>
      <x:c r="F43" s="415"/>
      <x:c r="G43" s="415"/>
      <x:c r="H43" s="415"/>
      <x:c r="I43" s="415"/>
      <x:c r="J43" s="415" t="s">
        <x:v>196</x:v>
      </x:c>
      <x:c r="K43" s="630" t="s">
        <x:v>88</x:v>
      </x:c>
      <x:c r="L43" s="631"/>
      <x:c r="M43" s="631" t="n">
        <x:f>SUMIF('[1]SAVDO BALANS'!$BK:$BK,K43,'[1]SAVDO BALANS'!$BL:$BL)</x:f>
        <x:v>0</x:v>
      </x:c>
      <x:c r="N43" s="631" t="n" cm="1">
        <x:f t="array" aca="1" ref="N43" ca="1">IFERROR(_xlfn.XLOOKUP($A$3,'[1]SAVDO BALANS'!$AE$11:$BH$11,_xlfn.XLOOKUP($K43,'[1]SAVDO BALANS'!$AD$13:$AD$130,'[1]SAVDO BALANS'!$AE$13:$BH$130)),0)</x:f>
        <x:v>0</x:v>
      </x:c>
      <x:c r="O43" s="415"/>
      <x:c r="P43" s="415"/>
      <x:c r="Q43" s="415"/>
      <x:c r="R43" s="415"/>
      <x:c r="S43" s="415"/>
      <x:c r="T43" s="415"/>
      <x:c r="U43" s="415"/>
      <x:c r="V43" s="415"/>
      <x:c r="W43" s="415"/>
    </x:row>
    <x:row r="44" ht="22" customHeight="1">
      <x:c r="A44" s="638"/>
      <x:c r="B44" s="383"/>
      <x:c r="C44" s="383"/>
      <x:c r="D44" s="383"/>
      <x:c r="E44" s="383"/>
      <x:c r="F44" s="383"/>
      <x:c r="G44" s="383"/>
      <x:c r="H44" s="383"/>
      <x:c r="I44" s="383"/>
      <x:c r="J44" s="383" t="s">
        <x:v>196</x:v>
      </x:c>
      <x:c r="K44" s="593" t="s">
        <x:v>89</x:v>
      </x:c>
      <x:c r="L44" s="594"/>
      <x:c r="M44" s="594" t="n">
        <x:f>SUMIF('[1]SAVDO BALANS'!$BK:$BK,K44,'[1]SAVDO BALANS'!$BL:$BL)</x:f>
        <x:v>0</x:v>
      </x:c>
      <x:c r="N44" s="594" t="n" cm="1">
        <x:f t="array" aca="1" ref="N44" ca="1">IFERROR(_xlfn.XLOOKUP($A$3,'[1]SAVDO BALANS'!$AE$11:$BH$11,_xlfn.XLOOKUP($K44,'[1]SAVDO BALANS'!$AD$13:$AD$130,'[1]SAVDO BALANS'!$AE$13:$BH$130)),0)</x:f>
        <x:v>0</x:v>
      </x:c>
      <x:c r="O44" s="383"/>
      <x:c r="P44" s="383"/>
      <x:c r="Q44" s="383"/>
      <x:c r="R44" s="383"/>
      <x:c r="S44" s="383"/>
      <x:c r="T44" s="383"/>
      <x:c r="U44" s="383"/>
      <x:c r="V44" s="383"/>
      <x:c r="W44" s="383"/>
    </x:row>
    <x:row r="45" ht="22" customHeight="1">
      <x:c r="A45" s="637"/>
      <x:c r="B45" s="415"/>
      <x:c r="C45" s="415"/>
      <x:c r="D45" s="415"/>
      <x:c r="E45" s="415"/>
      <x:c r="F45" s="415"/>
      <x:c r="G45" s="415"/>
      <x:c r="H45" s="415"/>
      <x:c r="I45" s="415"/>
      <x:c r="J45" s="415" t="s">
        <x:v>196</x:v>
      </x:c>
      <x:c r="K45" s="630" t="s">
        <x:v>90</x:v>
      </x:c>
      <x:c r="L45" s="631"/>
      <x:c r="M45" s="631" t="n">
        <x:f>SUMIF('[1]SAVDO BALANS'!$BK:$BK,K45,'[1]SAVDO BALANS'!$BL:$BL)</x:f>
        <x:v>0</x:v>
      </x:c>
      <x:c r="N45" s="631" t="n" cm="1">
        <x:f t="array" aca="1" ref="N45" ca="1">IFERROR(_xlfn.XLOOKUP($A$3,'[1]SAVDO BALANS'!$AE$11:$BH$11,_xlfn.XLOOKUP($K45,'[1]SAVDO BALANS'!$AD$13:$AD$130,'[1]SAVDO BALANS'!$AE$13:$BH$130)),0)</x:f>
        <x:v>0</x:v>
      </x:c>
      <x:c r="O45" s="415"/>
      <x:c r="P45" s="415"/>
      <x:c r="Q45" s="415"/>
      <x:c r="R45" s="415"/>
      <x:c r="S45" s="415"/>
      <x:c r="T45" s="415"/>
      <x:c r="U45" s="415"/>
      <x:c r="V45" s="415"/>
      <x:c r="W45" s="415"/>
    </x:row>
    <x:row r="46" ht="22" customHeight="1">
      <x:c r="A46" s="638"/>
      <x:c r="B46" s="383"/>
      <x:c r="C46" s="383"/>
      <x:c r="D46" s="383"/>
      <x:c r="E46" s="383"/>
      <x:c r="F46" s="383"/>
      <x:c r="G46" s="383"/>
      <x:c r="H46" s="383"/>
      <x:c r="I46" s="383"/>
      <x:c r="J46" s="383" t="s">
        <x:v>33</x:v>
      </x:c>
      <x:c r="K46" s="593" t="s">
        <x:v>91</x:v>
      </x:c>
      <x:c r="L46" s="594"/>
      <x:c r="M46" s="594" t="n">
        <x:f>SUMIF('[1]SAVDO BALANS'!$BK:$BK,K46,'[1]SAVDO BALANS'!$BL:$BL)</x:f>
        <x:v>0</x:v>
      </x:c>
      <x:c r="N46" s="594" t="n" cm="1">
        <x:f t="array" aca="1" ref="N46" ca="1">IFERROR(_xlfn.XLOOKUP($A$3,'[1]SAVDO BALANS'!$AE$11:$BH$11,_xlfn.XLOOKUP($K46,'[1]SAVDO BALANS'!$AD$13:$AD$130,'[1]SAVDO BALANS'!$AE$13:$BH$130)),0)</x:f>
        <x:v>0</x:v>
      </x:c>
      <x:c r="O46" s="383"/>
      <x:c r="P46" s="383"/>
      <x:c r="Q46" s="383"/>
      <x:c r="R46" s="383"/>
      <x:c r="S46" s="383"/>
      <x:c r="T46" s="383"/>
      <x:c r="U46" s="383"/>
      <x:c r="V46" s="383"/>
      <x:c r="W46" s="383"/>
    </x:row>
    <x:row r="47" ht="22" customHeight="1">
      <x:c r="A47" s="637"/>
      <x:c r="B47" s="415"/>
      <x:c r="C47" s="415"/>
      <x:c r="D47" s="415"/>
      <x:c r="E47" s="415"/>
      <x:c r="F47" s="415"/>
      <x:c r="G47" s="415"/>
      <x:c r="H47" s="415"/>
      <x:c r="I47" s="415"/>
      <x:c r="J47" s="415" t="s">
        <x:v>33</x:v>
      </x:c>
      <x:c r="K47" s="630" t="s">
        <x:v>92</x:v>
      </x:c>
      <x:c r="L47" s="631"/>
      <x:c r="M47" s="631" t="n">
        <x:f>SUMIF('[1]SAVDO BALANS'!$BK:$BK,K47,'[1]SAVDO BALANS'!$BL:$BL)</x:f>
        <x:v>0</x:v>
      </x:c>
      <x:c r="N47" s="631" t="n" cm="1">
        <x:f t="array" aca="1" ref="N47" ca="1">IFERROR(_xlfn.XLOOKUP($A$3,'[1]SAVDO BALANS'!$AE$11:$BH$11,_xlfn.XLOOKUP($K47,'[1]SAVDO BALANS'!$AD$13:$AD$130,'[1]SAVDO BALANS'!$AE$13:$BH$130)),0)</x:f>
        <x:v>0</x:v>
      </x:c>
      <x:c r="O47" s="415"/>
      <x:c r="P47" s="415"/>
      <x:c r="Q47" s="415"/>
      <x:c r="R47" s="415"/>
      <x:c r="S47" s="415"/>
      <x:c r="T47" s="415"/>
      <x:c r="U47" s="415"/>
      <x:c r="V47" s="415"/>
      <x:c r="W47" s="415"/>
    </x:row>
    <x:row r="48" ht="22" customHeight="1">
      <x:c r="A48" s="638"/>
      <x:c r="B48" s="383"/>
      <x:c r="C48" s="383"/>
      <x:c r="D48" s="383"/>
      <x:c r="E48" s="383"/>
      <x:c r="F48" s="383"/>
      <x:c r="G48" s="383"/>
      <x:c r="H48" s="383"/>
      <x:c r="I48" s="383"/>
      <x:c r="J48" s="383" t="s">
        <x:v>33</x:v>
      </x:c>
      <x:c r="K48" s="593" t="s">
        <x:v>93</x:v>
      </x:c>
      <x:c r="L48" s="594"/>
      <x:c r="M48" s="594" t="n">
        <x:f>SUMIF('[1]SAVDO BALANS'!$BK:$BK,K48,'[1]SAVDO BALANS'!$BL:$BL)</x:f>
        <x:v>0</x:v>
      </x:c>
      <x:c r="N48" s="594" t="n" cm="1">
        <x:f t="array" aca="1" ref="N48" ca="1">IFERROR(_xlfn.XLOOKUP($A$3,'[1]SAVDO BALANS'!$AE$11:$BH$11,_xlfn.XLOOKUP($K48,'[1]SAVDO BALANS'!$AD$13:$AD$130,'[1]SAVDO BALANS'!$AE$13:$BH$130)),0)</x:f>
        <x:v>0</x:v>
      </x:c>
      <x:c r="O48" s="383"/>
      <x:c r="P48" s="383"/>
      <x:c r="Q48" s="383"/>
      <x:c r="R48" s="383"/>
      <x:c r="S48" s="383"/>
      <x:c r="T48" s="383"/>
      <x:c r="U48" s="383"/>
      <x:c r="V48" s="383"/>
      <x:c r="W48" s="383"/>
    </x:row>
    <x:row r="49" ht="22" customHeight="1">
      <x:c r="A49" s="637"/>
      <x:c r="B49" s="415"/>
      <x:c r="C49" s="415"/>
      <x:c r="D49" s="415"/>
      <x:c r="E49" s="415"/>
      <x:c r="F49" s="415"/>
      <x:c r="G49" s="415"/>
      <x:c r="H49" s="415"/>
      <x:c r="I49" s="415"/>
      <x:c r="J49" s="415" t="s">
        <x:v>33</x:v>
      </x:c>
      <x:c r="K49" s="630" t="s">
        <x:v>212</x:v>
      </x:c>
      <x:c r="L49" s="631"/>
      <x:c r="M49" s="631" t="n">
        <x:f>SUMIF('[1]SAVDO BALANS'!$BK:$BK,K49,'[1]SAVDO BALANS'!$BL:$BL)</x:f>
        <x:v>0</x:v>
      </x:c>
      <x:c r="N49" s="631" t="n" cm="1">
        <x:f t="array" aca="1" ref="N49" ca="1">IFERROR(_xlfn.XLOOKUP($A$3,'[1]SAVDO BALANS'!$AE$11:$BH$11,_xlfn.XLOOKUP($K49,'[1]SAVDO BALANS'!$AD$13:$AD$130,'[1]SAVDO BALANS'!$AE$13:$BH$130)),0)</x:f>
        <x:v>0</x:v>
      </x:c>
      <x:c r="O49" s="415"/>
      <x:c r="P49" s="415"/>
      <x:c r="Q49" s="415"/>
      <x:c r="R49" s="415"/>
      <x:c r="S49" s="415"/>
      <x:c r="T49" s="415"/>
      <x:c r="U49" s="415"/>
      <x:c r="V49" s="415"/>
      <x:c r="W49" s="415"/>
    </x:row>
    <x:row r="50" ht="22" customHeight="1">
      <x:c r="A50" s="638"/>
      <x:c r="B50" s="383"/>
      <x:c r="C50" s="383"/>
      <x:c r="D50" s="383"/>
      <x:c r="E50" s="383"/>
      <x:c r="F50" s="383"/>
      <x:c r="G50" s="383"/>
      <x:c r="H50" s="383"/>
      <x:c r="I50" s="383"/>
      <x:c r="J50" s="383" t="s">
        <x:v>29</x:v>
      </x:c>
      <x:c r="K50" s="593" t="s">
        <x:v>94</x:v>
      </x:c>
      <x:c r="L50" s="594"/>
      <x:c r="M50" s="594" t="n">
        <x:f>SUMIF('[1]SAVDO BALANS'!$BK:$BK,K50,'[1]SAVDO BALANS'!$BL:$BL)</x:f>
        <x:v>0</x:v>
      </x:c>
      <x:c r="N50" s="594" t="n" cm="1">
        <x:f t="array" aca="1" ref="N50" ca="1">IFERROR(_xlfn.XLOOKUP($A$3,'[1]SAVDO BALANS'!$AE$11:$BH$11,_xlfn.XLOOKUP($K50,'[1]SAVDO BALANS'!$AD$13:$AD$130,'[1]SAVDO BALANS'!$AE$13:$BH$130)),0)</x:f>
        <x:v>0</x:v>
      </x:c>
      <x:c r="O50" s="383"/>
      <x:c r="P50" s="383"/>
      <x:c r="Q50" s="383"/>
      <x:c r="R50" s="383"/>
      <x:c r="S50" s="383"/>
      <x:c r="T50" s="383"/>
      <x:c r="U50" s="383"/>
      <x:c r="V50" s="383"/>
      <x:c r="W50" s="383"/>
    </x:row>
    <x:row r="51" ht="22" customHeight="1">
      <x:c r="A51" s="637"/>
      <x:c r="B51" s="415"/>
      <x:c r="C51" s="415"/>
      <x:c r="D51" s="415"/>
      <x:c r="E51" s="415"/>
      <x:c r="F51" s="415"/>
      <x:c r="G51" s="415"/>
      <x:c r="H51" s="415"/>
      <x:c r="I51" s="415"/>
      <x:c r="J51" s="415" t="s">
        <x:v>29</x:v>
      </x:c>
      <x:c r="K51" s="630" t="s">
        <x:v>213</x:v>
      </x:c>
      <x:c r="L51" s="631"/>
      <x:c r="M51" s="631" t="n">
        <x:f>SUMIF('[1]SAVDO BALANS'!$BK:$BK,K51,'[1]SAVDO BALANS'!$BL:$BL)</x:f>
        <x:v>0</x:v>
      </x:c>
      <x:c r="N51" s="631" t="n" cm="1">
        <x:f t="array" aca="1" ref="N51" ca="1">IFERROR(_xlfn.XLOOKUP($A$3,'[1]SAVDO BALANS'!$AE$11:$BH$11,_xlfn.XLOOKUP($K51,'[1]SAVDO BALANS'!$AD$13:$AD$130,'[1]SAVDO BALANS'!$AE$13:$BH$130)),0)</x:f>
        <x:v>0</x:v>
      </x:c>
      <x:c r="O51" s="415"/>
      <x:c r="P51" s="415"/>
      <x:c r="Q51" s="415"/>
      <x:c r="R51" s="415"/>
      <x:c r="S51" s="415"/>
      <x:c r="T51" s="415"/>
      <x:c r="U51" s="415"/>
      <x:c r="V51" s="415"/>
      <x:c r="W51" s="415"/>
    </x:row>
    <x:row r="52" ht="22" customHeight="1">
      <x:c r="A52" s="638"/>
      <x:c r="B52" s="383"/>
      <x:c r="C52" s="383"/>
      <x:c r="D52" s="383"/>
      <x:c r="E52" s="383"/>
      <x:c r="F52" s="383"/>
      <x:c r="G52" s="383"/>
      <x:c r="H52" s="383"/>
      <x:c r="I52" s="383"/>
      <x:c r="J52" s="383" t="s">
        <x:v>29</x:v>
      </x:c>
      <x:c r="K52" s="593" t="s">
        <x:v>95</x:v>
      </x:c>
      <x:c r="L52" s="594"/>
      <x:c r="M52" s="594" t="n">
        <x:f>SUMIF('[1]SAVDO BALANS'!$BK:$BK,K52,'[1]SAVDO BALANS'!$BL:$BL)</x:f>
        <x:v>0</x:v>
      </x:c>
      <x:c r="N52" s="594" t="n" cm="1">
        <x:f t="array" aca="1" ref="N52" ca="1">IFERROR(_xlfn.XLOOKUP($A$3,'[1]SAVDO BALANS'!$AE$11:$BH$11,_xlfn.XLOOKUP($K52,'[1]SAVDO BALANS'!$AD$13:$AD$130,'[1]SAVDO BALANS'!$AE$13:$BH$130)),0)</x:f>
        <x:v>0</x:v>
      </x:c>
      <x:c r="O52" s="383"/>
      <x:c r="P52" s="383"/>
      <x:c r="Q52" s="383"/>
      <x:c r="R52" s="383"/>
      <x:c r="S52" s="383"/>
      <x:c r="T52" s="383"/>
      <x:c r="U52" s="383"/>
      <x:c r="V52" s="383"/>
      <x:c r="W52" s="383"/>
    </x:row>
    <x:row r="53" ht="22" customHeight="1">
      <x:c r="A53" s="637"/>
      <x:c r="B53" s="415"/>
      <x:c r="C53" s="415"/>
      <x:c r="D53" s="415"/>
      <x:c r="E53" s="415"/>
      <x:c r="F53" s="415"/>
      <x:c r="G53" s="415"/>
      <x:c r="H53" s="415"/>
      <x:c r="I53" s="415"/>
      <x:c r="J53" s="415" t="s">
        <x:v>29</x:v>
      </x:c>
      <x:c r="K53" s="630" t="s">
        <x:v>96</x:v>
      </x:c>
      <x:c r="L53" s="631"/>
      <x:c r="M53" s="631" t="n">
        <x:f>SUMIF('[1]SAVDO BALANS'!$BK:$BK,K53,'[1]SAVDO BALANS'!$BL:$BL)</x:f>
        <x:v>0</x:v>
      </x:c>
      <x:c r="N53" s="631" t="n" cm="1">
        <x:f t="array" aca="1" ref="N53" ca="1">IFERROR(_xlfn.XLOOKUP($A$3,'[1]SAVDO BALANS'!$AE$11:$BH$11,_xlfn.XLOOKUP($K53,'[1]SAVDO BALANS'!$AD$13:$AD$130,'[1]SAVDO BALANS'!$AE$13:$BH$130)),0)</x:f>
        <x:v>0</x:v>
      </x:c>
      <x:c r="O53" s="415"/>
      <x:c r="P53" s="415"/>
      <x:c r="Q53" s="415"/>
      <x:c r="R53" s="415"/>
      <x:c r="S53" s="415"/>
      <x:c r="T53" s="415"/>
      <x:c r="U53" s="415"/>
      <x:c r="V53" s="415"/>
      <x:c r="W53" s="415"/>
    </x:row>
    <x:row r="54" ht="22" customHeight="1">
      <x:c r="A54" s="638"/>
      <x:c r="B54" s="383"/>
      <x:c r="C54" s="383"/>
      <x:c r="D54" s="383"/>
      <x:c r="E54" s="383"/>
      <x:c r="F54" s="383"/>
      <x:c r="G54" s="383"/>
      <x:c r="H54" s="383"/>
      <x:c r="I54" s="383"/>
      <x:c r="J54" s="383" t="s">
        <x:v>29</x:v>
      </x:c>
      <x:c r="K54" s="593" t="s">
        <x:v>214</x:v>
      </x:c>
      <x:c r="L54" s="594"/>
      <x:c r="M54" s="594" t="n">
        <x:f>SUMIF('[1]SAVDO BALANS'!$BK:$BK,K54,'[1]SAVDO BALANS'!$BL:$BL)</x:f>
        <x:v>0</x:v>
      </x:c>
      <x:c r="N54" s="594" t="n" cm="1">
        <x:f t="array" aca="1" ref="N54" ca="1">IFERROR(_xlfn.XLOOKUP($A$3,'[1]SAVDO BALANS'!$AE$11:$BH$11,_xlfn.XLOOKUP($K54,'[1]SAVDO BALANS'!$AD$13:$AD$130,'[1]SAVDO BALANS'!$AE$13:$BH$130)),0)</x:f>
        <x:v>0</x:v>
      </x:c>
      <x:c r="O54" s="383"/>
      <x:c r="P54" s="383"/>
      <x:c r="Q54" s="383"/>
      <x:c r="R54" s="383"/>
      <x:c r="S54" s="383"/>
      <x:c r="T54" s="383"/>
      <x:c r="U54" s="383"/>
      <x:c r="V54" s="383"/>
      <x:c r="W54" s="383"/>
    </x:row>
    <x:row r="55" ht="22" customHeight="1">
      <x:c r="A55" s="637"/>
      <x:c r="B55" s="415"/>
      <x:c r="C55" s="415"/>
      <x:c r="D55" s="415"/>
      <x:c r="E55" s="415"/>
      <x:c r="F55" s="415"/>
      <x:c r="G55" s="415"/>
      <x:c r="H55" s="415"/>
      <x:c r="I55" s="415"/>
      <x:c r="J55" s="415" t="s">
        <x:v>29</x:v>
      </x:c>
      <x:c r="K55" s="630" t="s">
        <x:v>215</x:v>
      </x:c>
      <x:c r="L55" s="631"/>
      <x:c r="M55" s="631" t="n">
        <x:f>SUMIF('[1]SAVDO BALANS'!$BK:$BK,K55,'[1]SAVDO BALANS'!$BL:$BL)</x:f>
        <x:v>0</x:v>
      </x:c>
      <x:c r="N55" s="631" t="n" cm="1">
        <x:f t="array" aca="1" ref="N55" ca="1">IFERROR(_xlfn.XLOOKUP($A$3,'[1]SAVDO BALANS'!$AE$11:$BH$11,_xlfn.XLOOKUP($K55,'[1]SAVDO BALANS'!$AD$13:$AD$130,'[1]SAVDO BALANS'!$AE$13:$BH$130)),0)</x:f>
        <x:v>0</x:v>
      </x:c>
      <x:c r="O55" s="415"/>
      <x:c r="P55" s="415"/>
      <x:c r="Q55" s="415"/>
      <x:c r="R55" s="415"/>
      <x:c r="S55" s="415"/>
      <x:c r="T55" s="415"/>
      <x:c r="U55" s="415"/>
      <x:c r="V55" s="415"/>
      <x:c r="W55" s="415"/>
    </x:row>
    <x:row r="56" ht="22" customHeight="1">
      <x:c r="A56" s="638"/>
      <x:c r="B56" s="383"/>
      <x:c r="C56" s="383"/>
      <x:c r="D56" s="383"/>
      <x:c r="E56" s="383"/>
      <x:c r="F56" s="383"/>
      <x:c r="G56" s="383"/>
      <x:c r="H56" s="383"/>
      <x:c r="I56" s="383"/>
      <x:c r="J56" s="383" t="s">
        <x:v>29</x:v>
      </x:c>
      <x:c r="K56" s="593" t="s">
        <x:v>97</x:v>
      </x:c>
      <x:c r="L56" s="594"/>
      <x:c r="M56" s="594" t="n">
        <x:f>SUMIF('[1]SAVDO BALANS'!$BK:$BK,K56,'[1]SAVDO BALANS'!$BL:$BL)</x:f>
        <x:v>0</x:v>
      </x:c>
      <x:c r="N56" s="594" t="n" cm="1">
        <x:f t="array" aca="1" ref="N56" ca="1">IFERROR(_xlfn.XLOOKUP($A$3,'[1]SAVDO BALANS'!$AE$11:$BH$11,_xlfn.XLOOKUP($K56,'[1]SAVDO BALANS'!$AD$13:$AD$130,'[1]SAVDO BALANS'!$AE$13:$BH$130)),0)</x:f>
        <x:v>0</x:v>
      </x:c>
      <x:c r="O56" s="383"/>
      <x:c r="P56" s="383"/>
      <x:c r="Q56" s="383"/>
      <x:c r="R56" s="383"/>
      <x:c r="S56" s="383"/>
      <x:c r="T56" s="383"/>
      <x:c r="U56" s="383"/>
      <x:c r="V56" s="383"/>
      <x:c r="W56" s="383"/>
    </x:row>
    <x:row r="57" ht="22" customHeight="1">
      <x:c r="A57" s="637"/>
      <x:c r="B57" s="415"/>
      <x:c r="C57" s="415"/>
      <x:c r="D57" s="415"/>
      <x:c r="E57" s="415"/>
      <x:c r="F57" s="415"/>
      <x:c r="G57" s="415"/>
      <x:c r="H57" s="415"/>
      <x:c r="I57" s="415"/>
      <x:c r="J57" s="415" t="s">
        <x:v>29</x:v>
      </x:c>
      <x:c r="K57" s="630" t="s">
        <x:v>216</x:v>
      </x:c>
      <x:c r="L57" s="631"/>
      <x:c r="M57" s="631" t="n">
        <x:f>SUMIF('[1]SAVDO BALANS'!$BK:$BK,K57,'[1]SAVDO BALANS'!$BL:$BL)</x:f>
        <x:v>0</x:v>
      </x:c>
      <x:c r="N57" s="631" t="n" cm="1">
        <x:f t="array" aca="1" ref="N57" ca="1">IFERROR(_xlfn.XLOOKUP($A$3,'[1]SAVDO BALANS'!$AE$11:$BH$11,_xlfn.XLOOKUP($K57,'[1]SAVDO BALANS'!$AD$13:$AD$130,'[1]SAVDO BALANS'!$AE$13:$BH$130)),0)</x:f>
        <x:v>0</x:v>
      </x:c>
      <x:c r="O57" s="415"/>
      <x:c r="P57" s="415"/>
      <x:c r="Q57" s="415"/>
      <x:c r="R57" s="415"/>
      <x:c r="S57" s="415"/>
      <x:c r="T57" s="415"/>
      <x:c r="U57" s="415"/>
      <x:c r="V57" s="415"/>
      <x:c r="W57" s="415"/>
    </x:row>
    <x:row r="58" ht="22" customHeight="1">
      <x:c r="A58" s="638"/>
      <x:c r="B58" s="383"/>
      <x:c r="C58" s="383"/>
      <x:c r="D58" s="383"/>
      <x:c r="E58" s="383"/>
      <x:c r="F58" s="383"/>
      <x:c r="G58" s="383"/>
      <x:c r="H58" s="383"/>
      <x:c r="I58" s="383"/>
      <x:c r="J58" s="383" t="s">
        <x:v>31</x:v>
      </x:c>
      <x:c r="K58" s="593" t="s">
        <x:v>98</x:v>
      </x:c>
      <x:c r="L58" s="594"/>
      <x:c r="M58" s="594" t="n">
        <x:f>SUMIF('[1]SAVDO BALANS'!$BK:$BK,K58,'[1]SAVDO BALANS'!$BL:$BL)</x:f>
        <x:v>0</x:v>
      </x:c>
      <x:c r="N58" s="594" t="n" cm="1">
        <x:f t="array" aca="1" ref="N58" ca="1">IFERROR(_xlfn.XLOOKUP($A$3,'[1]SAVDO BALANS'!$AE$11:$BH$11,_xlfn.XLOOKUP($K58,'[1]SAVDO BALANS'!$AD$13:$AD$130,'[1]SAVDO BALANS'!$AE$13:$BH$130)),0)</x:f>
        <x:v>0</x:v>
      </x:c>
      <x:c r="O58" s="383"/>
      <x:c r="P58" s="383"/>
      <x:c r="Q58" s="383"/>
      <x:c r="R58" s="383"/>
      <x:c r="S58" s="383"/>
      <x:c r="T58" s="383"/>
      <x:c r="U58" s="383"/>
      <x:c r="V58" s="383"/>
      <x:c r="W58" s="383"/>
    </x:row>
    <x:row r="59" ht="22" customHeight="1">
      <x:c r="A59" s="637"/>
      <x:c r="B59" s="415"/>
      <x:c r="C59" s="415"/>
      <x:c r="D59" s="415"/>
      <x:c r="E59" s="415"/>
      <x:c r="F59" s="415"/>
      <x:c r="G59" s="415"/>
      <x:c r="H59" s="415"/>
      <x:c r="I59" s="631"/>
      <x:c r="J59" s="415" t="s">
        <x:v>31</x:v>
      </x:c>
      <x:c r="K59" s="630" t="s">
        <x:v>99</x:v>
      </x:c>
      <x:c r="L59" s="631"/>
      <x:c r="M59" s="631" t="n">
        <x:f>SUMIF('[1]SAVDO BALANS'!$BK:$BK,K59,'[1]SAVDO BALANS'!$BL:$BL)</x:f>
        <x:v>0</x:v>
      </x:c>
      <x:c r="N59" s="631" t="n" cm="1">
        <x:f t="array" aca="1" ref="N59" ca="1">IFERROR(_xlfn.XLOOKUP($A$3,'[1]SAVDO BALANS'!$AE$11:$BH$11,_xlfn.XLOOKUP($K59,'[1]SAVDO BALANS'!$AD$13:$AD$130,'[1]SAVDO BALANS'!$AE$13:$BH$130)),0)</x:f>
        <x:v>0</x:v>
      </x:c>
      <x:c r="O59" s="631"/>
      <x:c r="P59" s="631"/>
      <x:c r="Q59" s="631"/>
      <x:c r="R59" s="631"/>
      <x:c r="S59" s="631"/>
      <x:c r="T59" s="631"/>
      <x:c r="U59" s="631"/>
      <x:c r="V59" s="415"/>
      <x:c r="W59" s="415"/>
    </x:row>
    <x:row r="60" ht="22" customHeight="1">
      <x:c r="A60" s="638"/>
      <x:c r="B60" s="383"/>
      <x:c r="C60" s="383"/>
      <x:c r="D60" s="383"/>
      <x:c r="E60" s="383"/>
      <x:c r="F60" s="383"/>
      <x:c r="G60" s="383"/>
      <x:c r="H60" s="383"/>
      <x:c r="I60" s="594"/>
      <x:c r="J60" s="383" t="s">
        <x:v>31</x:v>
      </x:c>
      <x:c r="K60" s="593" t="s">
        <x:v>100</x:v>
      </x:c>
      <x:c r="L60" s="594"/>
      <x:c r="M60" s="594" t="n">
        <x:f>SUMIF('[1]SAVDO BALANS'!$BK:$BK,K60,'[1]SAVDO BALANS'!$BL:$BL)</x:f>
        <x:v>0</x:v>
      </x:c>
      <x:c r="N60" s="594" t="n" cm="1">
        <x:f t="array" aca="1" ref="N60" ca="1">IFERROR(_xlfn.XLOOKUP($A$3,'[1]SAVDO BALANS'!$AE$11:$BH$11,_xlfn.XLOOKUP($K60,'[1]SAVDO BALANS'!$AD$13:$AD$130,'[1]SAVDO BALANS'!$AE$13:$BH$130)),0)</x:f>
        <x:v>0</x:v>
      </x:c>
      <x:c r="O60" s="594"/>
      <x:c r="P60" s="594"/>
      <x:c r="Q60" s="594"/>
      <x:c r="R60" s="594"/>
      <x:c r="S60" s="594"/>
      <x:c r="T60" s="594"/>
      <x:c r="U60" s="594"/>
      <x:c r="V60" s="383"/>
      <x:c r="W60" s="383"/>
    </x:row>
    <x:row r="61" ht="22" customHeight="1">
      <x:c r="A61" s="637"/>
      <x:c r="B61" s="415"/>
      <x:c r="C61" s="415"/>
      <x:c r="D61" s="415"/>
      <x:c r="E61" s="415"/>
      <x:c r="F61" s="415"/>
      <x:c r="G61" s="415"/>
      <x:c r="H61" s="415"/>
      <x:c r="I61" s="631"/>
      <x:c r="J61" s="415" t="s">
        <x:v>53</x:v>
      </x:c>
      <x:c r="K61" s="630" t="s">
        <x:v>101</x:v>
      </x:c>
      <x:c r="L61" s="631"/>
      <x:c r="M61" s="631" t="n">
        <x:f>SUMIF('[1]SAVDO BALANS'!$BK:$BK,K61,'[1]SAVDO BALANS'!$BL:$BL)</x:f>
        <x:v>0</x:v>
      </x:c>
      <x:c r="N61" s="631" t="n" cm="1">
        <x:f t="array" aca="1" ref="N61" ca="1">IFERROR(_xlfn.XLOOKUP($A$3,'[1]SAVDO BALANS'!$AE$11:$BH$11,_xlfn.XLOOKUP($K61,'[1]SAVDO BALANS'!$AD$13:$AD$130,'[1]SAVDO BALANS'!$AE$13:$BH$130)),0)</x:f>
        <x:v>0</x:v>
      </x:c>
      <x:c r="O61" s="631"/>
      <x:c r="P61" s="631"/>
      <x:c r="Q61" s="631"/>
      <x:c r="R61" s="631"/>
      <x:c r="S61" s="631"/>
      <x:c r="T61" s="631"/>
      <x:c r="U61" s="631"/>
      <x:c r="V61" s="415"/>
      <x:c r="W61" s="415"/>
    </x:row>
    <x:row r="62" ht="22" customHeight="1">
      <x:c r="A62" s="638"/>
      <x:c r="B62" s="383"/>
      <x:c r="C62" s="383"/>
      <x:c r="D62" s="383"/>
      <x:c r="E62" s="383"/>
      <x:c r="F62" s="383"/>
      <x:c r="G62" s="383"/>
      <x:c r="H62" s="383"/>
      <x:c r="I62" s="594"/>
      <x:c r="J62" s="383" t="s">
        <x:v>31</x:v>
      </x:c>
      <x:c r="K62" s="593" t="s">
        <x:v>217</x:v>
      </x:c>
      <x:c r="L62" s="594"/>
      <x:c r="M62" s="594" t="n">
        <x:f>SUMIF('[1]SAVDO BALANS'!$BK:$BK,K62,'[1]SAVDO BALANS'!$BL:$BL)</x:f>
        <x:v>0</x:v>
      </x:c>
      <x:c r="N62" s="594" t="n" cm="1">
        <x:f t="array" aca="1" ref="N62" ca="1">IFERROR(_xlfn.XLOOKUP($A$3,'[1]SAVDO BALANS'!$AE$11:$BH$11,_xlfn.XLOOKUP($K62,'[1]SAVDO BALANS'!$AD$13:$AD$130,'[1]SAVDO BALANS'!$AE$13:$BH$130)),0)</x:f>
        <x:v>0</x:v>
      </x:c>
      <x:c r="O62" s="594"/>
      <x:c r="P62" s="594"/>
      <x:c r="Q62" s="594"/>
      <x:c r="R62" s="594"/>
      <x:c r="S62" s="594"/>
      <x:c r="T62" s="594"/>
      <x:c r="U62" s="594"/>
      <x:c r="V62" s="383"/>
      <x:c r="W62" s="383"/>
    </x:row>
    <x:row r="63" ht="22" customHeight="1">
      <x:c r="A63" s="637"/>
      <x:c r="B63" s="415"/>
      <x:c r="C63" s="415"/>
      <x:c r="D63" s="415"/>
      <x:c r="E63" s="415"/>
      <x:c r="F63" s="415"/>
      <x:c r="G63" s="415"/>
      <x:c r="H63" s="415"/>
      <x:c r="I63" s="415"/>
      <x:c r="J63" s="415" t="s">
        <x:v>191</x:v>
      </x:c>
      <x:c r="K63" s="630" t="s">
        <x:v>218</x:v>
      </x:c>
      <x:c r="L63" s="631"/>
      <x:c r="M63" s="631" t="n">
        <x:f>SUMIF('[1]SAVDO BALANS'!$BK:$BK,K63,'[1]SAVDO BALANS'!$BL:$BL)</x:f>
        <x:v>0</x:v>
      </x:c>
      <x:c r="N63" s="631" t="n" cm="1">
        <x:f t="array" aca="1" ref="N63" ca="1">IFERROR(_xlfn.XLOOKUP($A$3,'[1]SAVDO BALANS'!$AE$11:$BH$11,_xlfn.XLOOKUP($K63,'[1]SAVDO BALANS'!$AD$13:$AD$130,'[1]SAVDO BALANS'!$AE$13:$BH$130)),0)</x:f>
        <x:v>0</x:v>
      </x:c>
      <x:c r="O63" s="415"/>
      <x:c r="P63" s="415"/>
      <x:c r="Q63" s="415"/>
      <x:c r="R63" s="415"/>
      <x:c r="S63" s="415"/>
      <x:c r="T63" s="415"/>
      <x:c r="U63" s="415"/>
      <x:c r="V63" s="415"/>
      <x:c r="W63" s="415"/>
    </x:row>
    <x:row r="64" ht="22" customHeight="1">
      <x:c r="A64" s="638"/>
      <x:c r="B64" s="383"/>
      <x:c r="C64" s="383"/>
      <x:c r="D64" s="383"/>
      <x:c r="E64" s="383"/>
      <x:c r="F64" s="383"/>
      <x:c r="G64" s="383"/>
      <x:c r="H64" s="383"/>
      <x:c r="I64" s="383"/>
      <x:c r="J64" s="383" t="s">
        <x:v>191</x:v>
      </x:c>
      <x:c r="K64" s="593" t="s">
        <x:v>103</x:v>
      </x:c>
      <x:c r="L64" s="594"/>
      <x:c r="M64" s="594" t="n">
        <x:f>SUMIF('[1]SAVDO BALANS'!$BK:$BK,K64,'[1]SAVDO BALANS'!$BL:$BL)</x:f>
        <x:v>0</x:v>
      </x:c>
      <x:c r="N64" s="594" t="n" cm="1">
        <x:f t="array" aca="1" ref="N64" ca="1">IFERROR(_xlfn.XLOOKUP($A$3,'[1]SAVDO BALANS'!$AE$11:$BH$11,_xlfn.XLOOKUP($K64,'[1]SAVDO BALANS'!$AD$13:$AD$130,'[1]SAVDO BALANS'!$AE$13:$BH$130)),0)</x:f>
        <x:v>0</x:v>
      </x:c>
      <x:c r="O64" s="383"/>
      <x:c r="P64" s="383"/>
      <x:c r="Q64" s="383"/>
      <x:c r="R64" s="383"/>
      <x:c r="S64" s="383"/>
      <x:c r="T64" s="383"/>
      <x:c r="U64" s="383"/>
      <x:c r="V64" s="383"/>
      <x:c r="W64" s="383"/>
    </x:row>
    <x:row r="65" ht="22" customHeight="1">
      <x:c r="A65" s="637"/>
      <x:c r="B65" s="415"/>
      <x:c r="C65" s="415"/>
      <x:c r="D65" s="415"/>
      <x:c r="E65" s="415"/>
      <x:c r="F65" s="415"/>
      <x:c r="G65" s="415"/>
      <x:c r="H65" s="415"/>
      <x:c r="I65" s="415"/>
      <x:c r="J65" s="415" t="s">
        <x:v>191</x:v>
      </x:c>
      <x:c r="K65" s="630" t="s">
        <x:v>219</x:v>
      </x:c>
      <x:c r="L65" s="631"/>
      <x:c r="M65" s="631" t="n">
        <x:f>SUMIF('[1]SAVDO BALANS'!$BK:$BK,K65,'[1]SAVDO BALANS'!$BL:$BL)</x:f>
        <x:v>0</x:v>
      </x:c>
      <x:c r="N65" s="631" t="n" cm="1">
        <x:f t="array" aca="1" ref="N65" ca="1">IFERROR(_xlfn.XLOOKUP($A$3,'[1]SAVDO BALANS'!$AE$11:$BH$11,_xlfn.XLOOKUP($K65,'[1]SAVDO BALANS'!$AD$13:$AD$130,'[1]SAVDO BALANS'!$AE$13:$BH$130)),0)</x:f>
        <x:v>0</x:v>
      </x:c>
      <x:c r="O65" s="415"/>
      <x:c r="P65" s="415"/>
      <x:c r="Q65" s="415"/>
      <x:c r="R65" s="415"/>
      <x:c r="S65" s="415"/>
      <x:c r="T65" s="415"/>
      <x:c r="U65" s="415"/>
      <x:c r="V65" s="415"/>
      <x:c r="W65" s="415"/>
    </x:row>
    <x:row r="66" ht="22" customHeight="1">
      <x:c r="A66" s="638"/>
      <x:c r="B66" s="383"/>
      <x:c r="C66" s="383"/>
      <x:c r="D66" s="383"/>
      <x:c r="E66" s="383"/>
      <x:c r="F66" s="383"/>
      <x:c r="G66" s="383"/>
      <x:c r="H66" s="383"/>
      <x:c r="I66" s="383"/>
      <x:c r="J66" s="383" t="s">
        <x:v>191</x:v>
      </x:c>
      <x:c r="K66" s="593" t="s">
        <x:v>220</x:v>
      </x:c>
      <x:c r="L66" s="594"/>
      <x:c r="M66" s="594" t="n">
        <x:f>SUMIF('[1]SAVDO BALANS'!$BK:$BK,K66,'[1]SAVDO BALANS'!$BL:$BL)</x:f>
        <x:v>0</x:v>
      </x:c>
      <x:c r="N66" s="594" t="n" cm="1">
        <x:f t="array" aca="1" ref="N66" ca="1">IFERROR(_xlfn.XLOOKUP($A$3,'[1]SAVDO BALANS'!$AE$11:$BH$11,_xlfn.XLOOKUP($K66,'[1]SAVDO BALANS'!$AD$13:$AD$130,'[1]SAVDO BALANS'!$AE$13:$BH$130)),0)</x:f>
        <x:v>0</x:v>
      </x:c>
      <x:c r="O66" s="383"/>
      <x:c r="P66" s="383"/>
      <x:c r="Q66" s="383"/>
      <x:c r="R66" s="383"/>
      <x:c r="S66" s="383"/>
      <x:c r="T66" s="383"/>
      <x:c r="U66" s="383"/>
      <x:c r="V66" s="383"/>
      <x:c r="W66" s="383"/>
    </x:row>
    <x:row r="67" ht="22" customHeight="1">
      <x:c r="A67" s="637"/>
      <x:c r="B67" s="415"/>
      <x:c r="C67" s="415"/>
      <x:c r="D67" s="415"/>
      <x:c r="E67" s="415"/>
      <x:c r="F67" s="415"/>
      <x:c r="G67" s="415"/>
      <x:c r="H67" s="415"/>
      <x:c r="I67" s="415"/>
      <x:c r="J67" s="415" t="s">
        <x:v>191</x:v>
      </x:c>
      <x:c r="K67" s="630" t="s">
        <x:v>104</x:v>
      </x:c>
      <x:c r="L67" s="631"/>
      <x:c r="M67" s="631" t="n">
        <x:f>SUMIF('[1]SAVDO BALANS'!$BK:$BK,K67,'[1]SAVDO BALANS'!$BL:$BL)</x:f>
        <x:v>0</x:v>
      </x:c>
      <x:c r="N67" s="631" t="n" cm="1">
        <x:f t="array" aca="1" ref="N67" ca="1">IFERROR(_xlfn.XLOOKUP($A$3,'[1]SAVDO BALANS'!$AE$11:$BH$11,_xlfn.XLOOKUP($K67,'[1]SAVDO BALANS'!$AD$13:$AD$130,'[1]SAVDO BALANS'!$AE$13:$BH$130)),0)</x:f>
        <x:v>0</x:v>
      </x:c>
      <x:c r="O67" s="415"/>
      <x:c r="P67" s="415"/>
      <x:c r="Q67" s="415"/>
      <x:c r="R67" s="415"/>
      <x:c r="S67" s="415"/>
      <x:c r="T67" s="415"/>
      <x:c r="U67" s="415"/>
      <x:c r="V67" s="415"/>
      <x:c r="W67" s="415"/>
    </x:row>
    <x:row r="68" ht="22" customHeight="1">
      <x:c r="A68" s="638"/>
      <x:c r="B68" s="383"/>
      <x:c r="C68" s="383"/>
      <x:c r="D68" s="383"/>
      <x:c r="E68" s="383"/>
      <x:c r="F68" s="383"/>
      <x:c r="G68" s="383"/>
      <x:c r="H68" s="383"/>
      <x:c r="I68" s="383"/>
      <x:c r="J68" s="383" t="s">
        <x:v>191</x:v>
      </x:c>
      <x:c r="K68" s="593" t="s">
        <x:v>105</x:v>
      </x:c>
      <x:c r="L68" s="594"/>
      <x:c r="M68" s="594" t="n">
        <x:f>SUMIF('[1]SAVDO BALANS'!$BK:$BK,K68,'[1]SAVDO BALANS'!$BL:$BL)</x:f>
        <x:v>0</x:v>
      </x:c>
      <x:c r="N68" s="594" t="n" cm="1">
        <x:f t="array" aca="1" ref="N68" ca="1">IFERROR(_xlfn.XLOOKUP($A$3,'[1]SAVDO BALANS'!$AE$11:$BH$11,_xlfn.XLOOKUP($K68,'[1]SAVDO BALANS'!$AD$13:$AD$130,'[1]SAVDO BALANS'!$AE$13:$BH$130)),0)</x:f>
        <x:v>0</x:v>
      </x:c>
      <x:c r="O68" s="383"/>
      <x:c r="P68" s="383"/>
      <x:c r="Q68" s="383"/>
      <x:c r="R68" s="383"/>
      <x:c r="S68" s="383"/>
      <x:c r="T68" s="383"/>
      <x:c r="U68" s="383"/>
      <x:c r="V68" s="383"/>
      <x:c r="W68" s="383"/>
    </x:row>
    <x:row r="69" ht="22" customHeight="1">
      <x:c r="A69" s="637"/>
      <x:c r="B69" s="415"/>
      <x:c r="C69" s="415"/>
      <x:c r="D69" s="415"/>
      <x:c r="E69" s="415"/>
      <x:c r="F69" s="415"/>
      <x:c r="G69" s="415"/>
      <x:c r="H69" s="415"/>
      <x:c r="I69" s="415"/>
      <x:c r="J69" s="415" t="s">
        <x:v>191</x:v>
      </x:c>
      <x:c r="K69" s="630" t="s">
        <x:v>106</x:v>
      </x:c>
      <x:c r="L69" s="631"/>
      <x:c r="M69" s="631" t="n">
        <x:f>SUMIF('[1]SAVDO BALANS'!$BK:$BK,K69,'[1]SAVDO BALANS'!$BL:$BL)</x:f>
        <x:v>0</x:v>
      </x:c>
      <x:c r="N69" s="631" t="n" cm="1">
        <x:f t="array" aca="1" ref="N69" ca="1">IFERROR(_xlfn.XLOOKUP($A$3,'[1]SAVDO BALANS'!$AE$11:$BH$11,_xlfn.XLOOKUP($K69,'[1]SAVDO BALANS'!$AD$13:$AD$130,'[1]SAVDO BALANS'!$AE$13:$BH$130)),0)</x:f>
        <x:v>0</x:v>
      </x:c>
      <x:c r="O69" s="415"/>
      <x:c r="P69" s="415"/>
      <x:c r="Q69" s="415"/>
      <x:c r="R69" s="415"/>
      <x:c r="S69" s="415"/>
      <x:c r="T69" s="415"/>
      <x:c r="U69" s="415"/>
      <x:c r="V69" s="415"/>
      <x:c r="W69" s="415"/>
    </x:row>
    <x:row r="70" ht="22" customHeight="1">
      <x:c r="A70" s="638"/>
      <x:c r="B70" s="383"/>
      <x:c r="C70" s="383"/>
      <x:c r="D70" s="383"/>
      <x:c r="E70" s="383"/>
      <x:c r="F70" s="383"/>
      <x:c r="G70" s="383"/>
      <x:c r="H70" s="383"/>
      <x:c r="I70" s="383"/>
      <x:c r="J70" s="383" t="s">
        <x:v>37</x:v>
      </x:c>
      <x:c r="K70" s="593" t="s">
        <x:v>221</x:v>
      </x:c>
      <x:c r="L70" s="594"/>
      <x:c r="M70" s="594" t="n">
        <x:f>SUMIF('[1]SAVDO BALANS'!$BK:$BK,K70,'[1]SAVDO BALANS'!$BL:$BL)</x:f>
        <x:v>0</x:v>
      </x:c>
      <x:c r="N70" s="594" t="n" cm="1">
        <x:f t="array" aca="1" ref="N70" ca="1">IFERROR(_xlfn.XLOOKUP($A$3,'[1]SAVDO BALANS'!$AE$11:$BH$11,_xlfn.XLOOKUP($K70,'[1]SAVDO BALANS'!$AD$13:$AD$130,'[1]SAVDO BALANS'!$AE$13:$BH$130)),0)</x:f>
        <x:v>0</x:v>
      </x:c>
      <x:c r="O70" s="383"/>
      <x:c r="P70" s="383"/>
      <x:c r="Q70" s="383"/>
      <x:c r="R70" s="383"/>
      <x:c r="S70" s="383"/>
      <x:c r="T70" s="383"/>
      <x:c r="U70" s="383"/>
      <x:c r="V70" s="383"/>
      <x:c r="W70" s="383"/>
    </x:row>
    <x:row r="71" ht="22" customHeight="1">
      <x:c r="A71" s="637"/>
      <x:c r="B71" s="415"/>
      <x:c r="C71" s="415"/>
      <x:c r="D71" s="415"/>
      <x:c r="E71" s="415"/>
      <x:c r="F71" s="415"/>
      <x:c r="G71" s="415"/>
      <x:c r="H71" s="415"/>
      <x:c r="I71" s="415"/>
      <x:c r="J71" s="415" t="s">
        <x:v>37</x:v>
      </x:c>
      <x:c r="K71" s="630" t="s">
        <x:v>222</x:v>
      </x:c>
      <x:c r="L71" s="631"/>
      <x:c r="M71" s="631" t="n">
        <x:f>SUMIF('[1]SAVDO BALANS'!$BK:$BK,K71,'[1]SAVDO BALANS'!$BL:$BL)</x:f>
        <x:v>0</x:v>
      </x:c>
      <x:c r="N71" s="631" t="n" cm="1">
        <x:f t="array" aca="1" ref="N71" ca="1">IFERROR(_xlfn.XLOOKUP($A$3,'[1]SAVDO BALANS'!$AE$11:$BH$11,_xlfn.XLOOKUP($K71,'[1]SAVDO BALANS'!$AD$13:$AD$130,'[1]SAVDO BALANS'!$AE$13:$BH$130)),0)</x:f>
        <x:v>0</x:v>
      </x:c>
      <x:c r="O71" s="415"/>
      <x:c r="P71" s="415"/>
      <x:c r="Q71" s="415"/>
      <x:c r="R71" s="415"/>
      <x:c r="S71" s="415"/>
      <x:c r="T71" s="415"/>
      <x:c r="U71" s="415"/>
      <x:c r="V71" s="415"/>
      <x:c r="W71" s="415"/>
    </x:row>
    <x:row r="72" ht="22" customHeight="1">
      <x:c r="A72" s="638"/>
      <x:c r="B72" s="383"/>
      <x:c r="C72" s="383"/>
      <x:c r="D72" s="383"/>
      <x:c r="E72" s="383"/>
      <x:c r="F72" s="383"/>
      <x:c r="G72" s="383"/>
      <x:c r="H72" s="383"/>
      <x:c r="I72" s="594"/>
      <x:c r="J72" s="383" t="s">
        <x:v>37</x:v>
      </x:c>
      <x:c r="K72" s="593" t="s">
        <x:v>107</x:v>
      </x:c>
      <x:c r="L72" s="594"/>
      <x:c r="M72" s="594" t="n">
        <x:f>SUMIF('[1]SAVDO BALANS'!$BK:$BK,K72,'[1]SAVDO BALANS'!$BL:$BL)</x:f>
        <x:v>0</x:v>
      </x:c>
      <x:c r="N72" s="594" t="n" cm="1">
        <x:f t="array" aca="1" ref="N72" ca="1">IFERROR(_xlfn.XLOOKUP($A$3,'[1]SAVDO BALANS'!$AE$11:$BH$11,_xlfn.XLOOKUP($K72,'[1]SAVDO BALANS'!$AD$13:$AD$130,'[1]SAVDO BALANS'!$AE$13:$BH$130)),0)</x:f>
        <x:v>0</x:v>
      </x:c>
      <x:c r="O72" s="594"/>
      <x:c r="P72" s="594"/>
      <x:c r="Q72" s="594"/>
      <x:c r="R72" s="594"/>
      <x:c r="S72" s="594"/>
      <x:c r="T72" s="594"/>
      <x:c r="U72" s="594"/>
      <x:c r="V72" s="383"/>
      <x:c r="W72" s="383"/>
    </x:row>
    <x:row r="73" ht="22" customHeight="1">
      <x:c r="A73" s="637"/>
      <x:c r="B73" s="415"/>
      <x:c r="C73" s="415"/>
      <x:c r="D73" s="415"/>
      <x:c r="E73" s="415"/>
      <x:c r="F73" s="415"/>
      <x:c r="G73" s="415"/>
      <x:c r="H73" s="415"/>
      <x:c r="I73" s="631"/>
      <x:c r="J73" s="415" t="s">
        <x:v>37</x:v>
      </x:c>
      <x:c r="K73" s="630" t="s">
        <x:v>223</x:v>
      </x:c>
      <x:c r="L73" s="631"/>
      <x:c r="M73" s="631" t="n">
        <x:f>SUMIF('[1]SAVDO BALANS'!$BK:$BK,K73,'[1]SAVDO BALANS'!$BL:$BL)</x:f>
        <x:v>0</x:v>
      </x:c>
      <x:c r="N73" s="631" t="n" cm="1">
        <x:f t="array" aca="1" ref="N73" ca="1">IFERROR(_xlfn.XLOOKUP($A$3,'[1]SAVDO BALANS'!$AE$11:$BH$11,_xlfn.XLOOKUP($K73,'[1]SAVDO BALANS'!$AD$13:$AD$130,'[1]SAVDO BALANS'!$AE$13:$BH$130)),0)</x:f>
        <x:v>0</x:v>
      </x:c>
      <x:c r="O73" s="631"/>
      <x:c r="P73" s="631"/>
      <x:c r="Q73" s="631"/>
      <x:c r="R73" s="631"/>
      <x:c r="S73" s="631"/>
      <x:c r="T73" s="631"/>
      <x:c r="U73" s="631"/>
      <x:c r="V73" s="415"/>
      <x:c r="W73" s="415"/>
    </x:row>
    <x:row r="74" ht="22" customHeight="1">
      <x:c r="A74" s="638"/>
      <x:c r="B74" s="383"/>
      <x:c r="C74" s="383"/>
      <x:c r="D74" s="383"/>
      <x:c r="E74" s="383"/>
      <x:c r="F74" s="383"/>
      <x:c r="G74" s="383"/>
      <x:c r="H74" s="383"/>
      <x:c r="I74" s="383"/>
      <x:c r="J74" s="383" t="s">
        <x:v>35</x:v>
      </x:c>
      <x:c r="K74" s="593" t="s">
        <x:v>108</x:v>
      </x:c>
      <x:c r="L74" s="594"/>
      <x:c r="M74" s="594" t="n">
        <x:f>SUMIF('[1]SAVDO BALANS'!$BK:$BK,K74,'[1]SAVDO BALANS'!$BL:$BL)</x:f>
        <x:v>0</x:v>
      </x:c>
      <x:c r="N74" s="594" t="n" cm="1">
        <x:f t="array" aca="1" ref="N74" ca="1">IFERROR(_xlfn.XLOOKUP($A$3,'[1]SAVDO BALANS'!$AE$11:$BH$11,_xlfn.XLOOKUP($K74,'[1]SAVDO BALANS'!$AD$13:$AD$130,'[1]SAVDO BALANS'!$AE$13:$BH$130)),0)</x:f>
        <x:v>0</x:v>
      </x:c>
      <x:c r="O74" s="383"/>
      <x:c r="P74" s="383"/>
      <x:c r="Q74" s="383"/>
      <x:c r="R74" s="383"/>
      <x:c r="S74" s="383"/>
      <x:c r="T74" s="383"/>
      <x:c r="U74" s="383"/>
      <x:c r="V74" s="383"/>
      <x:c r="W74" s="383"/>
    </x:row>
    <x:row r="75" ht="22" customHeight="1">
      <x:c r="A75" s="637"/>
      <x:c r="B75" s="415"/>
      <x:c r="C75" s="415"/>
      <x:c r="D75" s="415"/>
      <x:c r="E75" s="415"/>
      <x:c r="F75" s="415"/>
      <x:c r="G75" s="415"/>
      <x:c r="H75" s="415"/>
      <x:c r="I75" s="415"/>
      <x:c r="J75" s="415" t="s">
        <x:v>35</x:v>
      </x:c>
      <x:c r="K75" s="630" t="s">
        <x:v>224</x:v>
      </x:c>
      <x:c r="L75" s="631"/>
      <x:c r="M75" s="631" t="n">
        <x:f>SUMIF('[1]SAVDO BALANS'!$BK:$BK,K75,'[1]SAVDO BALANS'!$BL:$BL)</x:f>
        <x:v>0</x:v>
      </x:c>
      <x:c r="N75" s="631" t="n" cm="1">
        <x:f t="array" aca="1" ref="N75" ca="1">IFERROR(_xlfn.XLOOKUP($A$3,'[1]SAVDO BALANS'!$AE$11:$BH$11,_xlfn.XLOOKUP($K75,'[1]SAVDO BALANS'!$AD$13:$AD$130,'[1]SAVDO BALANS'!$AE$13:$BH$130)),0)</x:f>
        <x:v>0</x:v>
      </x:c>
      <x:c r="O75" s="415"/>
      <x:c r="P75" s="415"/>
      <x:c r="Q75" s="415"/>
      <x:c r="R75" s="415"/>
      <x:c r="S75" s="415"/>
      <x:c r="T75" s="415"/>
      <x:c r="U75" s="415"/>
      <x:c r="V75" s="415"/>
      <x:c r="W75" s="415"/>
    </x:row>
    <x:row r="76" ht="22" customHeight="1">
      <x:c r="A76" s="638"/>
      <x:c r="B76" s="383"/>
      <x:c r="C76" s="383"/>
      <x:c r="D76" s="383"/>
      <x:c r="E76" s="383"/>
      <x:c r="F76" s="383"/>
      <x:c r="G76" s="383"/>
      <x:c r="H76" s="383"/>
      <x:c r="I76" s="383"/>
      <x:c r="J76" s="383" t="s">
        <x:v>35</x:v>
      </x:c>
      <x:c r="K76" s="593" t="s">
        <x:v>225</x:v>
      </x:c>
      <x:c r="L76" s="594"/>
      <x:c r="M76" s="594" t="n">
        <x:f>SUMIF('[1]SAVDO BALANS'!$BK:$BK,K76,'[1]SAVDO BALANS'!$BL:$BL)</x:f>
        <x:v>0</x:v>
      </x:c>
      <x:c r="N76" s="594" t="n" cm="1">
        <x:f t="array" aca="1" ref="N76" ca="1">IFERROR(_xlfn.XLOOKUP($A$3,'[1]SAVDO BALANS'!$AE$11:$BH$11,_xlfn.XLOOKUP($K76,'[1]SAVDO BALANS'!$AD$13:$AD$130,'[1]SAVDO BALANS'!$AE$13:$BH$130)),0)</x:f>
        <x:v>0</x:v>
      </x:c>
      <x:c r="O76" s="383"/>
      <x:c r="P76" s="383"/>
      <x:c r="Q76" s="383"/>
      <x:c r="R76" s="383"/>
      <x:c r="S76" s="383"/>
      <x:c r="T76" s="383"/>
      <x:c r="U76" s="383"/>
      <x:c r="V76" s="383"/>
      <x:c r="W76" s="383"/>
    </x:row>
    <x:row r="77" ht="22" customHeight="1">
      <x:c r="A77" s="637"/>
      <x:c r="B77" s="415"/>
      <x:c r="C77" s="415"/>
      <x:c r="D77" s="415"/>
      <x:c r="E77" s="415"/>
      <x:c r="F77" s="415"/>
      <x:c r="G77" s="415"/>
      <x:c r="H77" s="415"/>
      <x:c r="I77" s="415"/>
      <x:c r="J77" s="415" t="s">
        <x:v>51</x:v>
      </x:c>
      <x:c r="K77" s="630" t="s">
        <x:v>109</x:v>
      </x:c>
      <x:c r="L77" s="631"/>
      <x:c r="M77" s="631" t="n">
        <x:f>SUMIF('[1]SAVDO BALANS'!$BK:$BK,K77,'[1]SAVDO BALANS'!$BL:$BL)</x:f>
        <x:v>0</x:v>
      </x:c>
      <x:c r="N77" s="631" t="n" cm="1">
        <x:f t="array" aca="1" ref="N77" ca="1">IFERROR(_xlfn.XLOOKUP($A$3,'[1]SAVDO BALANS'!$AE$11:$BH$11,_xlfn.XLOOKUP($K77,'[1]SAVDO BALANS'!$AD$13:$AD$130,'[1]SAVDO BALANS'!$AE$13:$BH$130)),0)</x:f>
        <x:v>0</x:v>
      </x:c>
      <x:c r="O77" s="415"/>
      <x:c r="P77" s="415"/>
      <x:c r="Q77" s="415"/>
      <x:c r="R77" s="415"/>
      <x:c r="S77" s="415"/>
      <x:c r="T77" s="415"/>
      <x:c r="U77" s="415"/>
      <x:c r="V77" s="415"/>
      <x:c r="W77" s="415"/>
    </x:row>
    <x:row r="78" ht="22" customHeight="1">
      <x:c r="A78" s="638"/>
      <x:c r="B78" s="383"/>
      <x:c r="C78" s="383"/>
      <x:c r="D78" s="383"/>
      <x:c r="E78" s="383"/>
      <x:c r="F78" s="383"/>
      <x:c r="G78" s="383"/>
      <x:c r="H78" s="383"/>
      <x:c r="I78" s="383"/>
      <x:c r="J78" s="383" t="s">
        <x:v>35</x:v>
      </x:c>
      <x:c r="K78" s="593" t="s">
        <x:v>226</x:v>
      </x:c>
      <x:c r="L78" s="594"/>
      <x:c r="M78" s="594" t="n">
        <x:f>SUMIF('[1]SAVDO BALANS'!$BK:$BK,K78,'[1]SAVDO BALANS'!$BL:$BL)</x:f>
        <x:v>0</x:v>
      </x:c>
      <x:c r="N78" s="594" t="n" cm="1">
        <x:f t="array" aca="1" ref="N78" ca="1">IFERROR(_xlfn.XLOOKUP($A$3,'[1]SAVDO BALANS'!$AE$11:$BH$11,_xlfn.XLOOKUP($K78,'[1]SAVDO BALANS'!$AD$13:$AD$130,'[1]SAVDO BALANS'!$AE$13:$BH$130)),0)</x:f>
        <x:v>0</x:v>
      </x:c>
      <x:c r="O78" s="383"/>
      <x:c r="P78" s="383"/>
      <x:c r="Q78" s="383"/>
      <x:c r="R78" s="383"/>
      <x:c r="S78" s="383"/>
      <x:c r="T78" s="383"/>
      <x:c r="U78" s="383"/>
      <x:c r="V78" s="383"/>
      <x:c r="W78" s="383"/>
    </x:row>
    <x:row r="79" ht="22" customHeight="1">
      <x:c r="A79" s="637"/>
      <x:c r="B79" s="415"/>
      <x:c r="C79" s="415"/>
      <x:c r="D79" s="415"/>
      <x:c r="E79" s="415"/>
      <x:c r="F79" s="415"/>
      <x:c r="G79" s="415"/>
      <x:c r="H79" s="415"/>
      <x:c r="I79" s="415"/>
      <x:c r="J79" s="415" t="s">
        <x:v>51</x:v>
      </x:c>
      <x:c r="K79" s="630" t="s">
        <x:v>110</x:v>
      </x:c>
      <x:c r="L79" s="631"/>
      <x:c r="M79" s="631" t="n">
        <x:f>SUMIF('[1]SAVDO BALANS'!$BK:$BK,K79,'[1]SAVDO BALANS'!$BL:$BL)</x:f>
        <x:v>0</x:v>
      </x:c>
      <x:c r="N79" s="631" t="n" cm="1">
        <x:f t="array" aca="1" ref="N79" ca="1">IFERROR(_xlfn.XLOOKUP($A$3,'[1]SAVDO BALANS'!$AE$11:$BH$11,_xlfn.XLOOKUP($K79,'[1]SAVDO BALANS'!$AD$13:$AD$130,'[1]SAVDO BALANS'!$AE$13:$BH$130)),0)</x:f>
        <x:v>0</x:v>
      </x:c>
      <x:c r="O79" s="415"/>
      <x:c r="P79" s="415"/>
      <x:c r="Q79" s="415"/>
      <x:c r="R79" s="415"/>
      <x:c r="S79" s="415"/>
      <x:c r="T79" s="415"/>
      <x:c r="U79" s="415"/>
      <x:c r="V79" s="415"/>
      <x:c r="W79" s="415"/>
    </x:row>
    <x:row r="80" ht="22" customHeight="1">
      <x:c r="A80" s="638"/>
      <x:c r="B80" s="383"/>
      <x:c r="C80" s="383"/>
      <x:c r="D80" s="383"/>
      <x:c r="E80" s="383"/>
      <x:c r="F80" s="383"/>
      <x:c r="G80" s="383"/>
      <x:c r="H80" s="383"/>
      <x:c r="I80" s="383"/>
      <x:c r="J80" s="383" t="s">
        <x:v>51</x:v>
      </x:c>
      <x:c r="K80" s="593" t="s">
        <x:v>111</x:v>
      </x:c>
      <x:c r="L80" s="594"/>
      <x:c r="M80" s="594" t="n">
        <x:f>SUMIF('[1]SAVDO BALANS'!$BK:$BK,K80,'[1]SAVDO BALANS'!$BL:$BL)</x:f>
        <x:v>0</x:v>
      </x:c>
      <x:c r="N80" s="594" t="n" cm="1">
        <x:f t="array" aca="1" ref="N80" ca="1">IFERROR(_xlfn.XLOOKUP($A$3,'[1]SAVDO BALANS'!$AE$11:$BH$11,_xlfn.XLOOKUP($K80,'[1]SAVDO BALANS'!$AD$13:$AD$130,'[1]SAVDO BALANS'!$AE$13:$BH$130)),0)</x:f>
        <x:v>0</x:v>
      </x:c>
      <x:c r="O80" s="383"/>
      <x:c r="P80" s="383"/>
      <x:c r="Q80" s="383"/>
      <x:c r="R80" s="383"/>
      <x:c r="S80" s="383"/>
      <x:c r="T80" s="383"/>
      <x:c r="U80" s="383"/>
      <x:c r="V80" s="383"/>
      <x:c r="W80" s="383"/>
    </x:row>
    <x:row r="81" ht="22" customHeight="1">
      <x:c r="A81" s="637"/>
      <x:c r="B81" s="415"/>
      <x:c r="C81" s="415"/>
      <x:c r="D81" s="415"/>
      <x:c r="E81" s="415"/>
      <x:c r="F81" s="415"/>
      <x:c r="G81" s="415"/>
      <x:c r="H81" s="415"/>
      <x:c r="I81" s="415"/>
      <x:c r="J81" s="415" t="s">
        <x:v>43</x:v>
      </x:c>
      <x:c r="K81" s="630" t="s">
        <x:v>112</x:v>
      </x:c>
      <x:c r="L81" s="631"/>
      <x:c r="M81" s="631" t="n">
        <x:f>SUMIF('[1]SAVDO BALANS'!$BK:$BK,K81,'[1]SAVDO BALANS'!$BL:$BL)</x:f>
        <x:v>0</x:v>
      </x:c>
      <x:c r="N81" s="631" t="n" cm="1">
        <x:f t="array" aca="1" ref="N81" ca="1">IFERROR(_xlfn.XLOOKUP($A$3,'[1]SAVDO BALANS'!$AE$11:$BH$11,_xlfn.XLOOKUP($K81,'[1]SAVDO BALANS'!$AD$13:$AD$130,'[1]SAVDO BALANS'!$AE$13:$BH$130)),0)</x:f>
        <x:v>0</x:v>
      </x:c>
      <x:c r="O81" s="415"/>
      <x:c r="P81" s="415"/>
      <x:c r="Q81" s="415"/>
      <x:c r="R81" s="415"/>
      <x:c r="S81" s="415"/>
      <x:c r="T81" s="415"/>
      <x:c r="U81" s="415"/>
      <x:c r="V81" s="415"/>
      <x:c r="W81" s="415"/>
    </x:row>
    <x:row r="82" ht="22" customHeight="1">
      <x:c r="A82" s="638"/>
      <x:c r="B82" s="383"/>
      <x:c r="C82" s="383"/>
      <x:c r="D82" s="383"/>
      <x:c r="E82" s="383"/>
      <x:c r="F82" s="383"/>
      <x:c r="G82" s="383"/>
      <x:c r="H82" s="383"/>
      <x:c r="I82" s="383"/>
      <x:c r="J82" s="383" t="s">
        <x:v>43</x:v>
      </x:c>
      <x:c r="K82" s="593" t="s">
        <x:v>113</x:v>
      </x:c>
      <x:c r="L82" s="594"/>
      <x:c r="M82" s="594" t="n">
        <x:f>SUMIF('[1]SAVDO BALANS'!$BK:$BK,K82,'[1]SAVDO BALANS'!$BL:$BL)</x:f>
        <x:v>0</x:v>
      </x:c>
      <x:c r="N82" s="594" t="n" cm="1">
        <x:f t="array" aca="1" ref="N82" ca="1">IFERROR(_xlfn.XLOOKUP($A$3,'[1]SAVDO BALANS'!$AE$11:$BH$11,_xlfn.XLOOKUP($K82,'[1]SAVDO BALANS'!$AD$13:$AD$130,'[1]SAVDO BALANS'!$AE$13:$BH$130)),0)</x:f>
        <x:v>0</x:v>
      </x:c>
      <x:c r="O82" s="383"/>
      <x:c r="P82" s="383"/>
      <x:c r="Q82" s="383"/>
      <x:c r="R82" s="383"/>
      <x:c r="S82" s="383"/>
      <x:c r="T82" s="383"/>
      <x:c r="U82" s="383"/>
      <x:c r="V82" s="383"/>
      <x:c r="W82" s="383"/>
    </x:row>
    <x:row r="83" ht="22" customHeight="1">
      <x:c r="A83" s="637"/>
      <x:c r="B83" s="415"/>
      <x:c r="C83" s="415"/>
      <x:c r="D83" s="415"/>
      <x:c r="E83" s="415"/>
      <x:c r="F83" s="415"/>
      <x:c r="G83" s="415"/>
      <x:c r="H83" s="415"/>
      <x:c r="I83" s="415"/>
      <x:c r="J83" s="415" t="s">
        <x:v>25</x:v>
      </x:c>
      <x:c r="K83" s="630" t="s">
        <x:v>227</x:v>
      </x:c>
      <x:c r="L83" s="631"/>
      <x:c r="M83" s="631" t="n">
        <x:f>SUMIF('[1]SAVDO BALANS'!$BK:$BK,K83,'[1]SAVDO BALANS'!$BL:$BL)</x:f>
        <x:v>0</x:v>
      </x:c>
      <x:c r="N83" s="631" t="n" cm="1">
        <x:f t="array" aca="1" ref="N83" ca="1">IFERROR(_xlfn.XLOOKUP($A$3,'[1]SAVDO BALANS'!$AE$11:$BH$11,_xlfn.XLOOKUP($K83,'[1]SAVDO BALANS'!$AD$13:$AD$130,'[1]SAVDO BALANS'!$AE$13:$BH$130)),0)</x:f>
        <x:v>0</x:v>
      </x:c>
      <x:c r="O83" s="415"/>
      <x:c r="P83" s="415"/>
      <x:c r="Q83" s="415"/>
      <x:c r="R83" s="415"/>
      <x:c r="S83" s="415"/>
      <x:c r="T83" s="415"/>
      <x:c r="U83" s="415"/>
      <x:c r="V83" s="415"/>
      <x:c r="W83" s="415"/>
    </x:row>
    <x:row r="84" ht="22" customHeight="1">
      <x:c r="A84" s="638"/>
      <x:c r="B84" s="383"/>
      <x:c r="C84" s="383"/>
      <x:c r="D84" s="383"/>
      <x:c r="E84" s="383"/>
      <x:c r="F84" s="383"/>
      <x:c r="G84" s="383"/>
      <x:c r="H84" s="383"/>
      <x:c r="I84" s="383"/>
      <x:c r="J84" s="383" t="s">
        <x:v>25</x:v>
      </x:c>
      <x:c r="K84" s="593" t="s">
        <x:v>114</x:v>
      </x:c>
      <x:c r="L84" s="594"/>
      <x:c r="M84" s="594" t="n">
        <x:f>SUMIF('[1]SAVDO BALANS'!$BK:$BK,K84,'[1]SAVDO BALANS'!$BL:$BL)</x:f>
        <x:v>0</x:v>
      </x:c>
      <x:c r="N84" s="594" t="n" cm="1">
        <x:f t="array" aca="1" ref="N84" ca="1">IFERROR(_xlfn.XLOOKUP($A$3,'[1]SAVDO BALANS'!$AE$11:$BH$11,_xlfn.XLOOKUP($K84,'[1]SAVDO BALANS'!$AD$13:$AD$130,'[1]SAVDO BALANS'!$AE$13:$BH$130)),0)</x:f>
        <x:v>0</x:v>
      </x:c>
      <x:c r="O84" s="383"/>
      <x:c r="P84" s="383"/>
      <x:c r="Q84" s="383"/>
      <x:c r="R84" s="383"/>
      <x:c r="S84" s="383"/>
      <x:c r="T84" s="383"/>
      <x:c r="U84" s="383"/>
      <x:c r="V84" s="383"/>
      <x:c r="W84" s="383"/>
    </x:row>
    <x:row r="85" ht="22" customHeight="1">
      <x:c r="A85" s="637"/>
      <x:c r="B85" s="415"/>
      <x:c r="C85" s="415"/>
      <x:c r="D85" s="415"/>
      <x:c r="E85" s="415"/>
      <x:c r="F85" s="415"/>
      <x:c r="G85" s="415"/>
      <x:c r="H85" s="415"/>
      <x:c r="I85" s="415"/>
      <x:c r="J85" s="415" t="s">
        <x:v>51</x:v>
      </x:c>
      <x:c r="K85" s="630" t="s">
        <x:v>116</x:v>
      </x:c>
      <x:c r="L85" s="631"/>
      <x:c r="M85" s="631" t="n">
        <x:f>SUMIF('[1]SAVDO BALANS'!$BK:$BK,K85,'[1]SAVDO BALANS'!$BL:$BL)</x:f>
        <x:v>0</x:v>
      </x:c>
      <x:c r="N85" s="631" t="n" cm="1">
        <x:f t="array" aca="1" ref="N85" ca="1">IFERROR(_xlfn.XLOOKUP($A$3,'[1]SAVDO BALANS'!$AE$11:$BH$11,_xlfn.XLOOKUP($K85,'[1]SAVDO BALANS'!$AD$13:$AD$130,'[1]SAVDO BALANS'!$AE$13:$BH$130)),0)</x:f>
        <x:v>0</x:v>
      </x:c>
      <x:c r="O85" s="415"/>
      <x:c r="P85" s="415"/>
      <x:c r="Q85" s="415"/>
      <x:c r="R85" s="415"/>
      <x:c r="S85" s="415"/>
      <x:c r="T85" s="415"/>
      <x:c r="U85" s="415"/>
      <x:c r="V85" s="415"/>
      <x:c r="W85" s="415"/>
    </x:row>
    <x:row r="86" ht="22" customHeight="1">
      <x:c r="A86" s="638"/>
      <x:c r="B86" s="383"/>
      <x:c r="C86" s="383"/>
      <x:c r="D86" s="383"/>
      <x:c r="E86" s="383"/>
      <x:c r="F86" s="383"/>
      <x:c r="G86" s="383"/>
      <x:c r="H86" s="383"/>
      <x:c r="I86" s="383"/>
      <x:c r="J86" s="383" t="s">
        <x:v>51</x:v>
      </x:c>
      <x:c r="K86" s="593" t="s">
        <x:v>117</x:v>
      </x:c>
      <x:c r="L86" s="594"/>
      <x:c r="M86" s="594" t="n">
        <x:f>SUMIF('[1]SAVDO BALANS'!$BK:$BK,K86,'[1]SAVDO BALANS'!$BL:$BL)</x:f>
        <x:v>0</x:v>
      </x:c>
      <x:c r="N86" s="594" t="n" cm="1">
        <x:f t="array" aca="1" ref="N86" ca="1">IFERROR(_xlfn.XLOOKUP($A$3,'[1]SAVDO BALANS'!$AE$11:$BH$11,_xlfn.XLOOKUP($K86,'[1]SAVDO BALANS'!$AD$13:$AD$130,'[1]SAVDO BALANS'!$AE$13:$BH$130)),0)</x:f>
        <x:v>0</x:v>
      </x:c>
      <x:c r="O86" s="383"/>
      <x:c r="P86" s="383"/>
      <x:c r="Q86" s="383"/>
      <x:c r="R86" s="383"/>
      <x:c r="S86" s="383"/>
      <x:c r="T86" s="383"/>
      <x:c r="U86" s="383"/>
      <x:c r="V86" s="383"/>
      <x:c r="W86" s="383"/>
    </x:row>
    <x:row r="87" ht="22" customHeight="1">
      <x:c r="A87" s="637"/>
      <x:c r="B87" s="415"/>
      <x:c r="C87" s="415"/>
      <x:c r="D87" s="415"/>
      <x:c r="E87" s="415"/>
      <x:c r="F87" s="415"/>
      <x:c r="G87" s="415"/>
      <x:c r="H87" s="415"/>
      <x:c r="I87" s="415"/>
      <x:c r="J87" s="415" t="s">
        <x:v>51</x:v>
      </x:c>
      <x:c r="K87" s="630" t="s">
        <x:v>118</x:v>
      </x:c>
      <x:c r="L87" s="631"/>
      <x:c r="M87" s="631" t="n">
        <x:f>SUMIF('[1]SAVDO BALANS'!$BK:$BK,K87,'[1]SAVDO BALANS'!$BL:$BL)</x:f>
        <x:v>0</x:v>
      </x:c>
      <x:c r="N87" s="631" t="n" cm="1">
        <x:f t="array" aca="1" ref="N87" ca="1">IFERROR(_xlfn.XLOOKUP($A$3,'[1]SAVDO BALANS'!$AE$11:$BH$11,_xlfn.XLOOKUP($K87,'[1]SAVDO BALANS'!$AD$13:$AD$130,'[1]SAVDO BALANS'!$AE$13:$BH$130)),0)</x:f>
        <x:v>0</x:v>
      </x:c>
      <x:c r="O87" s="415"/>
      <x:c r="P87" s="415"/>
      <x:c r="Q87" s="415"/>
      <x:c r="R87" s="415"/>
      <x:c r="S87" s="415"/>
      <x:c r="T87" s="415"/>
      <x:c r="U87" s="415"/>
      <x:c r="V87" s="415"/>
      <x:c r="W87" s="415"/>
    </x:row>
    <x:row r="88" ht="22" customHeight="1">
      <x:c r="A88" s="638"/>
      <x:c r="B88" s="383"/>
      <x:c r="C88" s="383"/>
      <x:c r="D88" s="383"/>
      <x:c r="E88" s="383"/>
      <x:c r="F88" s="383"/>
      <x:c r="G88" s="383"/>
      <x:c r="H88" s="383"/>
      <x:c r="I88" s="383"/>
      <x:c r="J88" s="383" t="s">
        <x:v>51</x:v>
      </x:c>
      <x:c r="K88" s="593" t="s">
        <x:v>119</x:v>
      </x:c>
      <x:c r="L88" s="594"/>
      <x:c r="M88" s="594" t="n">
        <x:f>SUMIF('[1]SAVDO BALANS'!$BK:$BK,K88,'[1]SAVDO BALANS'!$BL:$BL)</x:f>
        <x:v>0</x:v>
      </x:c>
      <x:c r="N88" s="594" t="n" cm="1">
        <x:f t="array" aca="1" ref="N88" ca="1">IFERROR(_xlfn.XLOOKUP($A$3,'[1]SAVDO BALANS'!$AE$11:$BH$11,_xlfn.XLOOKUP($K88,'[1]SAVDO BALANS'!$AD$13:$AD$130,'[1]SAVDO BALANS'!$AE$13:$BH$130)),0)</x:f>
        <x:v>0</x:v>
      </x:c>
      <x:c r="O88" s="383"/>
      <x:c r="P88" s="383"/>
      <x:c r="Q88" s="383"/>
      <x:c r="R88" s="383"/>
      <x:c r="S88" s="383"/>
      <x:c r="T88" s="383"/>
      <x:c r="U88" s="383"/>
      <x:c r="V88" s="383"/>
      <x:c r="W88" s="383"/>
    </x:row>
    <x:row r="89" ht="22" customHeight="1">
      <x:c r="A89" s="637"/>
      <x:c r="B89" s="415"/>
      <x:c r="C89" s="415"/>
      <x:c r="D89" s="415"/>
      <x:c r="E89" s="415"/>
      <x:c r="F89" s="415"/>
      <x:c r="G89" s="415"/>
      <x:c r="H89" s="415"/>
      <x:c r="I89" s="415"/>
      <x:c r="J89" s="415" t="s">
        <x:v>51</x:v>
      </x:c>
      <x:c r="K89" s="630" t="s">
        <x:v>120</x:v>
      </x:c>
      <x:c r="L89" s="631"/>
      <x:c r="M89" s="631" t="n">
        <x:f>SUMIF('[1]SAVDO BALANS'!$BK:$BK,K89,'[1]SAVDO BALANS'!$BL:$BL)</x:f>
        <x:v>0</x:v>
      </x:c>
      <x:c r="N89" s="631" t="n" cm="1">
        <x:f t="array" aca="1" ref="N89" ca="1">IFERROR(_xlfn.XLOOKUP($A$3,'[1]SAVDO BALANS'!$AE$11:$BH$11,_xlfn.XLOOKUP($K89,'[1]SAVDO BALANS'!$AD$13:$AD$130,'[1]SAVDO BALANS'!$AE$13:$BH$130)),0)</x:f>
        <x:v>0</x:v>
      </x:c>
      <x:c r="O89" s="415"/>
      <x:c r="P89" s="415"/>
      <x:c r="Q89" s="415"/>
      <x:c r="R89" s="415"/>
      <x:c r="S89" s="415"/>
      <x:c r="T89" s="415"/>
      <x:c r="U89" s="415"/>
      <x:c r="V89" s="415"/>
      <x:c r="W89" s="415"/>
    </x:row>
    <x:row r="90" ht="22" customHeight="1">
      <x:c r="A90" s="638"/>
      <x:c r="B90" s="383"/>
      <x:c r="C90" s="383"/>
      <x:c r="D90" s="383"/>
      <x:c r="E90" s="383"/>
      <x:c r="F90" s="383"/>
      <x:c r="G90" s="383"/>
      <x:c r="H90" s="383"/>
      <x:c r="I90" s="383"/>
      <x:c r="J90" s="383" t="s">
        <x:v>43</x:v>
      </x:c>
      <x:c r="K90" s="593" t="s">
        <x:v>228</x:v>
      </x:c>
      <x:c r="L90" s="594"/>
      <x:c r="M90" s="594" t="n">
        <x:f>SUMIF('[1]SAVDO BALANS'!$BK:$BK,K90,'[1]SAVDO BALANS'!$BL:$BL)</x:f>
        <x:v>0</x:v>
      </x:c>
      <x:c r="N90" s="594" t="n" cm="1">
        <x:f t="array" aca="1" ref="N90" ca="1">IFERROR(_xlfn.XLOOKUP($A$3,'[1]SAVDO BALANS'!$AE$11:$BH$11,_xlfn.XLOOKUP($K90,'[1]SAVDO BALANS'!$AD$13:$AD$130,'[1]SAVDO BALANS'!$AE$13:$BH$130)),0)</x:f>
        <x:v>0</x:v>
      </x:c>
      <x:c r="O90" s="383"/>
      <x:c r="P90" s="383"/>
      <x:c r="Q90" s="383"/>
      <x:c r="R90" s="383"/>
      <x:c r="S90" s="383"/>
      <x:c r="T90" s="383"/>
      <x:c r="U90" s="383"/>
      <x:c r="V90" s="383"/>
      <x:c r="W90" s="383"/>
    </x:row>
    <x:row r="91" ht="22" customHeight="1">
      <x:c r="A91" s="637"/>
      <x:c r="B91" s="415"/>
      <x:c r="C91" s="415"/>
      <x:c r="D91" s="415"/>
      <x:c r="E91" s="415"/>
      <x:c r="F91" s="415"/>
      <x:c r="G91" s="415"/>
      <x:c r="H91" s="415"/>
      <x:c r="I91" s="415"/>
      <x:c r="J91" s="415" t="s">
        <x:v>43</x:v>
      </x:c>
      <x:c r="K91" s="630" t="s">
        <x:v>229</x:v>
      </x:c>
      <x:c r="L91" s="631"/>
      <x:c r="M91" s="631" t="n">
        <x:f>SUMIF('[1]SAVDO BALANS'!$BK:$BK,K91,'[1]SAVDO BALANS'!$BL:$BL)</x:f>
        <x:v>0</x:v>
      </x:c>
      <x:c r="N91" s="631" t="n" cm="1">
        <x:f t="array" aca="1" ref="N91" ca="1">IFERROR(_xlfn.XLOOKUP($A$3,'[1]SAVDO BALANS'!$AE$11:$BH$11,_xlfn.XLOOKUP($K91,'[1]SAVDO BALANS'!$AD$13:$AD$130,'[1]SAVDO BALANS'!$AE$13:$BH$130)),0)</x:f>
        <x:v>0</x:v>
      </x:c>
      <x:c r="O91" s="415"/>
      <x:c r="P91" s="415"/>
      <x:c r="Q91" s="415"/>
      <x:c r="R91" s="415"/>
      <x:c r="S91" s="415"/>
      <x:c r="T91" s="415"/>
      <x:c r="U91" s="415"/>
      <x:c r="V91" s="415"/>
      <x:c r="W91" s="415"/>
    </x:row>
    <x:row r="92" ht="22" customHeight="1">
      <x:c r="A92" s="638"/>
      <x:c r="B92" s="383"/>
      <x:c r="C92" s="383"/>
      <x:c r="D92" s="383"/>
      <x:c r="E92" s="383"/>
      <x:c r="F92" s="383"/>
      <x:c r="G92" s="383"/>
      <x:c r="H92" s="383"/>
      <x:c r="I92" s="383"/>
      <x:c r="J92" s="383" t="s">
        <x:v>43</x:v>
      </x:c>
      <x:c r="K92" s="593" t="s">
        <x:v>230</x:v>
      </x:c>
      <x:c r="L92" s="594"/>
      <x:c r="M92" s="594" t="n">
        <x:f>SUMIF('[1]SAVDO BALANS'!$BK:$BK,K92,'[1]SAVDO BALANS'!$BL:$BL)</x:f>
        <x:v>0</x:v>
      </x:c>
      <x:c r="N92" s="594" t="n" cm="1">
        <x:f t="array" aca="1" ref="N92" ca="1">IFERROR(_xlfn.XLOOKUP($A$3,'[1]SAVDO BALANS'!$AE$11:$BH$11,_xlfn.XLOOKUP($K92,'[1]SAVDO BALANS'!$AD$13:$AD$130,'[1]SAVDO BALANS'!$AE$13:$BH$130)),0)</x:f>
        <x:v>0</x:v>
      </x:c>
      <x:c r="O92" s="383"/>
      <x:c r="P92" s="383"/>
      <x:c r="Q92" s="383"/>
      <x:c r="R92" s="383"/>
      <x:c r="S92" s="383"/>
      <x:c r="T92" s="383"/>
      <x:c r="U92" s="383"/>
      <x:c r="V92" s="383"/>
      <x:c r="W92" s="383"/>
    </x:row>
    <x:row r="93" ht="22" customHeight="1">
      <x:c r="A93" s="637"/>
      <x:c r="B93" s="415"/>
      <x:c r="C93" s="415"/>
      <x:c r="D93" s="415"/>
      <x:c r="E93" s="415"/>
      <x:c r="F93" s="415"/>
      <x:c r="G93" s="415"/>
      <x:c r="H93" s="415"/>
      <x:c r="I93" s="415"/>
      <x:c r="J93" s="415" t="s">
        <x:v>43</x:v>
      </x:c>
      <x:c r="K93" s="630" t="s">
        <x:v>231</x:v>
      </x:c>
      <x:c r="L93" s="631"/>
      <x:c r="M93" s="631" t="n">
        <x:f>SUMIF('[1]SAVDO BALANS'!$BK:$BK,K93,'[1]SAVDO BALANS'!$BL:$BL)</x:f>
        <x:v>0</x:v>
      </x:c>
      <x:c r="N93" s="631" t="n" cm="1">
        <x:f t="array" aca="1" ref="N93" ca="1">IFERROR(_xlfn.XLOOKUP($A$3,'[1]SAVDO BALANS'!$AE$11:$BH$11,_xlfn.XLOOKUP($K93,'[1]SAVDO BALANS'!$AD$13:$AD$130,'[1]SAVDO BALANS'!$AE$13:$BH$130)),0)</x:f>
        <x:v>0</x:v>
      </x:c>
      <x:c r="O93" s="415"/>
      <x:c r="P93" s="415"/>
      <x:c r="Q93" s="415"/>
      <x:c r="R93" s="415"/>
      <x:c r="S93" s="415"/>
      <x:c r="T93" s="415"/>
      <x:c r="U93" s="415"/>
      <x:c r="V93" s="415"/>
      <x:c r="W93" s="415"/>
    </x:row>
    <x:row r="94" ht="22" customHeight="1">
      <x:c r="A94" s="638"/>
      <x:c r="B94" s="383"/>
      <x:c r="C94" s="383"/>
      <x:c r="D94" s="383"/>
      <x:c r="E94" s="383"/>
      <x:c r="F94" s="383"/>
      <x:c r="G94" s="383"/>
      <x:c r="H94" s="383"/>
      <x:c r="I94" s="383"/>
      <x:c r="J94" s="383" t="s">
        <x:v>43</x:v>
      </x:c>
      <x:c r="K94" s="593" t="s">
        <x:v>121</x:v>
      </x:c>
      <x:c r="L94" s="594"/>
      <x:c r="M94" s="594" t="n">
        <x:f>SUMIF('[1]SAVDO BALANS'!$BK:$BK,K94,'[1]SAVDO BALANS'!$BL:$BL)</x:f>
        <x:v>0</x:v>
      </x:c>
      <x:c r="N94" s="594" t="n" cm="1">
        <x:f t="array" aca="1" ref="N94" ca="1">IFERROR(_xlfn.XLOOKUP($A$3,'[1]SAVDO BALANS'!$AE$11:$BH$11,_xlfn.XLOOKUP($K94,'[1]SAVDO BALANS'!$AD$13:$AD$130,'[1]SAVDO BALANS'!$AE$13:$BH$130)),0)</x:f>
        <x:v>0</x:v>
      </x:c>
      <x:c r="O94" s="383"/>
      <x:c r="P94" s="383"/>
      <x:c r="Q94" s="383"/>
      <x:c r="R94" s="383"/>
      <x:c r="S94" s="383"/>
      <x:c r="T94" s="383"/>
      <x:c r="U94" s="383"/>
      <x:c r="V94" s="383"/>
      <x:c r="W94" s="383"/>
    </x:row>
    <x:row r="95" ht="22" customHeight="1">
      <x:c r="A95" s="637"/>
      <x:c r="B95" s="415"/>
      <x:c r="C95" s="415"/>
      <x:c r="D95" s="415"/>
      <x:c r="E95" s="415"/>
      <x:c r="F95" s="415"/>
      <x:c r="G95" s="415"/>
      <x:c r="H95" s="415"/>
      <x:c r="I95" s="415"/>
      <x:c r="J95" s="415" t="s">
        <x:v>47</x:v>
      </x:c>
      <x:c r="K95" s="630" t="s">
        <x:v>232</x:v>
      </x:c>
      <x:c r="L95" s="631"/>
      <x:c r="M95" s="631" t="n">
        <x:f>SUMIF('[1]SAVDO BALANS'!$BK:$BK,K95,'[1]SAVDO BALANS'!$BL:$BL)</x:f>
        <x:v>0</x:v>
      </x:c>
      <x:c r="N95" s="631" t="n" cm="1">
        <x:f t="array" aca="1" ref="N95" ca="1">IFERROR(_xlfn.XLOOKUP($A$3,'[1]SAVDO BALANS'!$AE$11:$BH$11,_xlfn.XLOOKUP($K95,'[1]SAVDO BALANS'!$AD$13:$AD$130,'[1]SAVDO BALANS'!$AE$13:$BH$130)),0)</x:f>
        <x:v>0</x:v>
      </x:c>
      <x:c r="O95" s="415"/>
      <x:c r="P95" s="415"/>
      <x:c r="Q95" s="415"/>
      <x:c r="R95" s="415"/>
      <x:c r="S95" s="415"/>
      <x:c r="T95" s="415"/>
      <x:c r="U95" s="415"/>
      <x:c r="V95" s="415"/>
      <x:c r="W95" s="415"/>
    </x:row>
    <x:row r="96" ht="22" customHeight="1">
      <x:c r="A96" s="638"/>
      <x:c r="B96" s="383"/>
      <x:c r="C96" s="383"/>
      <x:c r="D96" s="383"/>
      <x:c r="E96" s="383"/>
      <x:c r="F96" s="383"/>
      <x:c r="G96" s="383"/>
      <x:c r="H96" s="383"/>
      <x:c r="I96" s="383"/>
      <x:c r="J96" s="383" t="s">
        <x:v>47</x:v>
      </x:c>
      <x:c r="K96" s="593" t="s">
        <x:v>123</x:v>
      </x:c>
      <x:c r="L96" s="594"/>
      <x:c r="M96" s="594" t="n">
        <x:f>SUMIF('[1]SAVDO BALANS'!$BK:$BK,K96,'[1]SAVDO BALANS'!$BL:$BL)</x:f>
        <x:v>0</x:v>
      </x:c>
      <x:c r="N96" s="594" t="n" cm="1">
        <x:f t="array" aca="1" ref="N96" ca="1">IFERROR(_xlfn.XLOOKUP($A$3,'[1]SAVDO BALANS'!$AE$11:$BH$11,_xlfn.XLOOKUP($K96,'[1]SAVDO BALANS'!$AD$13:$AD$130,'[1]SAVDO BALANS'!$AE$13:$BH$130)),0)</x:f>
        <x:v>0</x:v>
      </x:c>
      <x:c r="O96" s="383"/>
      <x:c r="P96" s="383"/>
      <x:c r="Q96" s="383"/>
      <x:c r="R96" s="383"/>
      <x:c r="S96" s="383"/>
      <x:c r="T96" s="383"/>
      <x:c r="U96" s="383"/>
      <x:c r="V96" s="383"/>
      <x:c r="W96" s="383"/>
    </x:row>
    <x:row r="97" ht="22" customHeight="1">
      <x:c r="A97" s="637"/>
      <x:c r="B97" s="415"/>
      <x:c r="C97" s="415"/>
      <x:c r="D97" s="415"/>
      <x:c r="E97" s="415"/>
      <x:c r="F97" s="415"/>
      <x:c r="G97" s="415"/>
      <x:c r="H97" s="415"/>
      <x:c r="I97" s="415"/>
      <x:c r="J97" s="415" t="s">
        <x:v>47</x:v>
      </x:c>
      <x:c r="K97" s="630" t="s">
        <x:v>124</x:v>
      </x:c>
      <x:c r="L97" s="631"/>
      <x:c r="M97" s="631" t="n">
        <x:f>SUMIF('[1]SAVDO BALANS'!$BK:$BK,K97,'[1]SAVDO BALANS'!$BL:$BL)</x:f>
        <x:v>0</x:v>
      </x:c>
      <x:c r="N97" s="631" t="n" cm="1">
        <x:f t="array" aca="1" ref="N97" ca="1">IFERROR(_xlfn.XLOOKUP($A$3,'[1]SAVDO BALANS'!$AE$11:$BH$11,_xlfn.XLOOKUP($K97,'[1]SAVDO BALANS'!$AD$13:$AD$130,'[1]SAVDO BALANS'!$AE$13:$BH$130)),0)</x:f>
        <x:v>0</x:v>
      </x:c>
      <x:c r="O97" s="415"/>
      <x:c r="P97" s="415"/>
      <x:c r="Q97" s="415"/>
      <x:c r="R97" s="415"/>
      <x:c r="S97" s="415"/>
      <x:c r="T97" s="415"/>
      <x:c r="U97" s="415"/>
      <x:c r="V97" s="415"/>
      <x:c r="W97" s="415"/>
    </x:row>
    <x:row r="98" ht="22" customHeight="1">
      <x:c r="A98" s="638"/>
      <x:c r="B98" s="383"/>
      <x:c r="C98" s="383"/>
      <x:c r="D98" s="383"/>
      <x:c r="E98" s="383"/>
      <x:c r="F98" s="383"/>
      <x:c r="G98" s="383"/>
      <x:c r="H98" s="383"/>
      <x:c r="I98" s="383"/>
      <x:c r="J98" s="383" t="s">
        <x:v>21</x:v>
      </x:c>
      <x:c r="K98" s="593" t="s">
        <x:v>233</x:v>
      </x:c>
      <x:c r="L98" s="594"/>
      <x:c r="M98" s="594" t="n">
        <x:f>SUMIF('[1]SAVDO BALANS'!$BK:$BK,K98,'[1]SAVDO BALANS'!$BL:$BL)</x:f>
        <x:v>0</x:v>
      </x:c>
      <x:c r="N98" s="594" t="n" cm="1">
        <x:f t="array" aca="1" ref="N98" ca="1">IFERROR(_xlfn.XLOOKUP($A$3,'[1]SAVDO BALANS'!$AE$11:$BH$11,_xlfn.XLOOKUP($K98,'[1]SAVDO BALANS'!$AD$13:$AD$130,'[1]SAVDO BALANS'!$AE$13:$BH$130)),0)</x:f>
        <x:v>0</x:v>
      </x:c>
      <x:c r="O98" s="383"/>
      <x:c r="P98" s="383"/>
      <x:c r="Q98" s="383"/>
      <x:c r="R98" s="383"/>
      <x:c r="S98" s="383"/>
      <x:c r="T98" s="383"/>
      <x:c r="U98" s="383"/>
      <x:c r="V98" s="383"/>
      <x:c r="W98" s="383"/>
    </x:row>
    <x:row r="99" ht="22" customHeight="1">
      <x:c r="A99" s="637"/>
      <x:c r="B99" s="415"/>
      <x:c r="C99" s="415"/>
      <x:c r="D99" s="415"/>
      <x:c r="E99" s="415"/>
      <x:c r="F99" s="415"/>
      <x:c r="G99" s="415"/>
      <x:c r="H99" s="415"/>
      <x:c r="I99" s="415"/>
      <x:c r="J99" s="415" t="s">
        <x:v>21</x:v>
      </x:c>
      <x:c r="K99" s="630" t="s">
        <x:v>234</x:v>
      </x:c>
      <x:c r="L99" s="631"/>
      <x:c r="M99" s="631" t="n">
        <x:f>SUMIF('[1]SAVDO BALANS'!$BK:$BK,K99,'[1]SAVDO BALANS'!$BL:$BL)</x:f>
        <x:v>0</x:v>
      </x:c>
      <x:c r="N99" s="631" t="n" cm="1">
        <x:f t="array" aca="1" ref="N99" ca="1">IFERROR(_xlfn.XLOOKUP($A$3,'[1]SAVDO BALANS'!$AE$11:$BH$11,_xlfn.XLOOKUP($K99,'[1]SAVDO BALANS'!$AD$13:$AD$130,'[1]SAVDO BALANS'!$AE$13:$BH$130)),0)</x:f>
        <x:v>0</x:v>
      </x:c>
      <x:c r="O99" s="415"/>
      <x:c r="P99" s="415"/>
      <x:c r="Q99" s="415"/>
      <x:c r="R99" s="415"/>
      <x:c r="S99" s="415"/>
      <x:c r="T99" s="415"/>
      <x:c r="U99" s="415"/>
      <x:c r="V99" s="415"/>
      <x:c r="W99" s="415"/>
    </x:row>
    <x:row r="100" ht="22" customHeight="1">
      <x:c r="A100" s="638"/>
      <x:c r="B100" s="383"/>
      <x:c r="C100" s="383"/>
      <x:c r="D100" s="383"/>
      <x:c r="E100" s="383"/>
      <x:c r="F100" s="383"/>
      <x:c r="G100" s="383"/>
      <x:c r="H100" s="383"/>
      <x:c r="I100" s="383"/>
      <x:c r="J100" s="383" t="s">
        <x:v>49</x:v>
      </x:c>
      <x:c r="K100" s="593" t="s">
        <x:v>125</x:v>
      </x:c>
      <x:c r="L100" s="594"/>
      <x:c r="M100" s="594" t="n">
        <x:f>SUMIF('[1]SAVDO BALANS'!$BK:$BK,K100,'[1]SAVDO BALANS'!$BL:$BL)</x:f>
        <x:v>0</x:v>
      </x:c>
      <x:c r="N100" s="594" t="n" cm="1">
        <x:f t="array" aca="1" ref="N100" ca="1">IFERROR(_xlfn.XLOOKUP($A$3,'[1]SAVDO BALANS'!$AE$11:$BH$11,_xlfn.XLOOKUP($K100,'[1]SAVDO BALANS'!$AD$13:$AD$130,'[1]SAVDO BALANS'!$AE$13:$BH$130)),0)</x:f>
        <x:v>0</x:v>
      </x:c>
      <x:c r="O100" s="383"/>
      <x:c r="P100" s="383"/>
      <x:c r="Q100" s="383"/>
      <x:c r="R100" s="383"/>
      <x:c r="S100" s="383"/>
      <x:c r="T100" s="383"/>
      <x:c r="U100" s="383"/>
      <x:c r="V100" s="383"/>
      <x:c r="W100" s="383"/>
    </x:row>
    <x:row r="101" ht="22" customHeight="1">
      <x:c r="A101" s="637"/>
      <x:c r="B101" s="415"/>
      <x:c r="C101" s="415"/>
      <x:c r="D101" s="415"/>
      <x:c r="E101" s="415"/>
      <x:c r="F101" s="415"/>
      <x:c r="G101" s="415"/>
      <x:c r="H101" s="415"/>
      <x:c r="I101" s="415"/>
      <x:c r="J101" s="415" t="s">
        <x:v>49</x:v>
      </x:c>
      <x:c r="K101" s="630" t="s">
        <x:v>126</x:v>
      </x:c>
      <x:c r="L101" s="631"/>
      <x:c r="M101" s="631" t="n">
        <x:f>SUMIF('[1]SAVDO BALANS'!$BK:$BK,K101,'[1]SAVDO BALANS'!$BL:$BL)</x:f>
        <x:v>0</x:v>
      </x:c>
      <x:c r="N101" s="631" t="n" cm="1">
        <x:f t="array" aca="1" ref="N101" ca="1">IFERROR(_xlfn.XLOOKUP($A$3,'[1]SAVDO BALANS'!$AE$11:$BH$11,_xlfn.XLOOKUP($K101,'[1]SAVDO BALANS'!$AD$13:$AD$130,'[1]SAVDO BALANS'!$AE$13:$BH$130)),0)</x:f>
        <x:v>0</x:v>
      </x:c>
      <x:c r="O101" s="415"/>
      <x:c r="P101" s="415"/>
      <x:c r="Q101" s="415"/>
      <x:c r="R101" s="415"/>
      <x:c r="S101" s="415"/>
      <x:c r="T101" s="415"/>
      <x:c r="U101" s="415"/>
      <x:c r="V101" s="415"/>
      <x:c r="W101" s="415"/>
    </x:row>
    <x:row r="102" ht="22" customHeight="1">
      <x:c r="A102" s="638"/>
      <x:c r="B102" s="383"/>
      <x:c r="C102" s="383"/>
      <x:c r="D102" s="383"/>
      <x:c r="E102" s="383"/>
      <x:c r="F102" s="383"/>
      <x:c r="G102" s="383"/>
      <x:c r="H102" s="383"/>
      <x:c r="I102" s="383"/>
      <x:c r="J102" s="383" t="s">
        <x:v>49</x:v>
      </x:c>
      <x:c r="K102" s="593" t="s">
        <x:v>127</x:v>
      </x:c>
      <x:c r="L102" s="594"/>
      <x:c r="M102" s="594" t="n">
        <x:f>SUMIF('[1]SAVDO BALANS'!$BK:$BK,K102,'[1]SAVDO BALANS'!$BL:$BL)</x:f>
        <x:v>0</x:v>
      </x:c>
      <x:c r="N102" s="594" t="n" cm="1">
        <x:f t="array" aca="1" ref="N102" ca="1">IFERROR(_xlfn.XLOOKUP($A$3,'[1]SAVDO BALANS'!$AE$11:$BH$11,_xlfn.XLOOKUP($K102,'[1]SAVDO BALANS'!$AD$13:$AD$130,'[1]SAVDO BALANS'!$AE$13:$BH$130)),0)</x:f>
        <x:v>0</x:v>
      </x:c>
      <x:c r="O102" s="383"/>
      <x:c r="P102" s="383"/>
      <x:c r="Q102" s="383"/>
      <x:c r="R102" s="383"/>
      <x:c r="S102" s="383"/>
      <x:c r="T102" s="383"/>
      <x:c r="U102" s="383"/>
      <x:c r="V102" s="383"/>
      <x:c r="W102" s="383"/>
    </x:row>
    <x:row r="103" ht="22" customHeight="1">
      <x:c r="A103" s="637"/>
      <x:c r="B103" s="415"/>
      <x:c r="C103" s="415"/>
      <x:c r="D103" s="415"/>
      <x:c r="E103" s="415"/>
      <x:c r="F103" s="415"/>
      <x:c r="G103" s="415"/>
      <x:c r="H103" s="415"/>
      <x:c r="I103" s="415"/>
      <x:c r="J103" s="415" t="s">
        <x:v>49</x:v>
      </x:c>
      <x:c r="K103" s="630" t="s">
        <x:v>128</x:v>
      </x:c>
      <x:c r="L103" s="631"/>
      <x:c r="M103" s="631" t="n">
        <x:f>SUMIF('[1]SAVDO BALANS'!$BK:$BK,K103,'[1]SAVDO BALANS'!$BL:$BL)</x:f>
        <x:v>0</x:v>
      </x:c>
      <x:c r="N103" s="631" t="n" cm="1">
        <x:f t="array" aca="1" ref="N103" ca="1">IFERROR(_xlfn.XLOOKUP($A$3,'[1]SAVDO BALANS'!$AE$11:$BH$11,_xlfn.XLOOKUP($K103,'[1]SAVDO BALANS'!$AD$13:$AD$130,'[1]SAVDO BALANS'!$AE$13:$BH$130)),0)</x:f>
        <x:v>0</x:v>
      </x:c>
      <x:c r="O103" s="415"/>
      <x:c r="P103" s="415"/>
      <x:c r="Q103" s="415"/>
      <x:c r="R103" s="415"/>
      <x:c r="S103" s="415"/>
      <x:c r="T103" s="415"/>
      <x:c r="U103" s="415"/>
      <x:c r="V103" s="415"/>
      <x:c r="W103" s="415"/>
    </x:row>
    <x:row r="104" ht="22" customHeight="1">
      <x:c r="A104" s="638"/>
      <x:c r="B104" s="383"/>
      <x:c r="C104" s="383"/>
      <x:c r="D104" s="383"/>
      <x:c r="E104" s="383"/>
      <x:c r="F104" s="383"/>
      <x:c r="G104" s="383"/>
      <x:c r="H104" s="383"/>
      <x:c r="I104" s="383"/>
      <x:c r="J104" s="383" t="s">
        <x:v>49</x:v>
      </x:c>
      <x:c r="K104" s="593" t="s">
        <x:v>129</x:v>
      </x:c>
      <x:c r="L104" s="594"/>
      <x:c r="M104" s="594" t="n">
        <x:f>SUMIF('[1]SAVDO BALANS'!$BK:$BK,K104,'[1]SAVDO BALANS'!$BL:$BL)</x:f>
        <x:v>0</x:v>
      </x:c>
      <x:c r="N104" s="594" t="n" cm="1">
        <x:f t="array" aca="1" ref="N104" ca="1">IFERROR(_xlfn.XLOOKUP($A$3,'[1]SAVDO BALANS'!$AE$11:$BH$11,_xlfn.XLOOKUP($K104,'[1]SAVDO BALANS'!$AD$13:$AD$130,'[1]SAVDO BALANS'!$AE$13:$BH$130)),0)</x:f>
        <x:v>0</x:v>
      </x:c>
      <x:c r="O104" s="383"/>
      <x:c r="P104" s="383"/>
      <x:c r="Q104" s="383"/>
      <x:c r="R104" s="383"/>
      <x:c r="S104" s="383"/>
      <x:c r="T104" s="383"/>
      <x:c r="U104" s="383"/>
      <x:c r="V104" s="383"/>
      <x:c r="W104" s="383"/>
    </x:row>
    <x:row r="105" ht="22" customHeight="1">
      <x:c r="A105" s="637"/>
      <x:c r="B105" s="415"/>
      <x:c r="C105" s="415"/>
      <x:c r="D105" s="415"/>
      <x:c r="E105" s="415"/>
      <x:c r="F105" s="415"/>
      <x:c r="G105" s="415"/>
      <x:c r="H105" s="415"/>
      <x:c r="I105" s="415"/>
      <x:c r="J105" s="415" t="s">
        <x:v>51</x:v>
      </x:c>
      <x:c r="K105" s="415" t="s">
        <x:v>102</x:v>
      </x:c>
      <x:c r="L105" s="631"/>
      <x:c r="M105" s="631" t="n">
        <x:f>SUMIF('[1]SAVDO BALANS'!$BK:$BK,K105,'[1]SAVDO BALANS'!$BL:$BL)</x:f>
        <x:v>0</x:v>
      </x:c>
      <x:c r="N105" s="631" t="n" cm="1">
        <x:f t="array" aca="1" ref="N105" ca="1">IFERROR(_xlfn.XLOOKUP($A$3,'[1]SAVDO BALANS'!$AE$11:$BH$11,_xlfn.XLOOKUP($K105,'[1]SAVDO BALANS'!$AD$13:$AD$130,'[1]SAVDO BALANS'!$AE$13:$BH$130)),0)</x:f>
        <x:v>0</x:v>
      </x:c>
      <x:c r="O105" s="415"/>
      <x:c r="P105" s="415"/>
      <x:c r="Q105" s="415"/>
      <x:c r="R105" s="415"/>
      <x:c r="S105" s="415"/>
      <x:c r="T105" s="415"/>
      <x:c r="U105" s="415"/>
      <x:c r="V105" s="415"/>
      <x:c r="W105" s="415"/>
    </x:row>
    <x:row r="106" ht="22" customHeight="1">
      <x:c r="A106" s="638"/>
      <x:c r="B106" s="383"/>
      <x:c r="C106" s="383"/>
      <x:c r="D106" s="383"/>
      <x:c r="E106" s="383"/>
      <x:c r="F106" s="383"/>
      <x:c r="G106" s="383"/>
      <x:c r="H106" s="383"/>
      <x:c r="I106" s="383"/>
      <x:c r="J106" s="383" t="s">
        <x:v>43</x:v>
      </x:c>
      <x:c r="K106" s="383" t="s">
        <x:v>235</x:v>
      </x:c>
      <x:c r="L106" s="594"/>
      <x:c r="M106" s="594" t="n">
        <x:f>SUMIF('[1]SAVDO BALANS'!$BK:$BK,K106,'[1]SAVDO BALANS'!$BL:$BL)</x:f>
        <x:v>0</x:v>
      </x:c>
      <x:c r="N106" s="594" t="n" cm="1">
        <x:f t="array" aca="1" ref="N106" ca="1">IFERROR(_xlfn.XLOOKUP($A$3,'[1]SAVDO BALANS'!$AE$11:$BH$11,_xlfn.XLOOKUP($K106,'[1]SAVDO BALANS'!$AD$13:$AD$130,'[1]SAVDO BALANS'!$AE$13:$BH$130)),0)</x:f>
        <x:v>0</x:v>
      </x:c>
      <x:c r="O106" s="383"/>
      <x:c r="P106" s="383"/>
      <x:c r="Q106" s="383"/>
      <x:c r="R106" s="383"/>
      <x:c r="S106" s="383"/>
      <x:c r="T106" s="383"/>
      <x:c r="U106" s="383"/>
      <x:c r="V106" s="383"/>
      <x:c r="W106" s="383"/>
    </x:row>
    <x:row r="107" ht="22" customHeight="1">
      <x:c r="A107" s="637"/>
      <x:c r="B107" s="415"/>
      <x:c r="C107" s="415"/>
      <x:c r="D107" s="415"/>
      <x:c r="E107" s="415"/>
      <x:c r="F107" s="415"/>
      <x:c r="G107" s="415"/>
      <x:c r="H107" s="415"/>
      <x:c r="I107" s="415"/>
      <x:c r="J107" s="415" t="s">
        <x:v>51</x:v>
      </x:c>
      <x:c r="K107" s="415" t="s">
        <x:v>115</x:v>
      </x:c>
      <x:c r="L107" s="631"/>
      <x:c r="M107" s="631" t="n">
        <x:f>SUMIF('[1]SAVDO BALANS'!$BK:$BK,K107,'[1]SAVDO BALANS'!$BL:$BL)</x:f>
        <x:v>0</x:v>
      </x:c>
      <x:c r="N107" s="631" t="n" cm="1">
        <x:f t="array" aca="1" ref="N107" ca="1">IFERROR(_xlfn.XLOOKUP($A$3,'[1]SAVDO BALANS'!$AE$11:$BH$11,_xlfn.XLOOKUP($K107,'[1]SAVDO BALANS'!$AD$13:$AD$130,'[1]SAVDO BALANS'!$AE$13:$BH$130)),0)</x:f>
        <x:v>0</x:v>
      </x:c>
      <x:c r="O107" s="415"/>
      <x:c r="P107" s="415"/>
      <x:c r="Q107" s="415"/>
      <x:c r="R107" s="415"/>
      <x:c r="S107" s="415"/>
      <x:c r="T107" s="415"/>
      <x:c r="U107" s="415"/>
      <x:c r="V107" s="415"/>
      <x:c r="W107" s="415"/>
    </x:row>
    <x:row r="108" ht="22" customHeight="1">
      <x:c r="A108" s="638"/>
      <x:c r="B108" s="383"/>
      <x:c r="C108" s="383"/>
      <x:c r="D108" s="383"/>
      <x:c r="E108" s="383"/>
      <x:c r="F108" s="383"/>
      <x:c r="G108" s="383"/>
      <x:c r="H108" s="383"/>
      <x:c r="I108" s="383"/>
      <x:c r="J108" s="383" t="s">
        <x:v>51</x:v>
      </x:c>
      <x:c r="K108" s="383" t="s">
        <x:v>122</x:v>
      </x:c>
      <x:c r="L108" s="594"/>
      <x:c r="M108" s="594" t="n">
        <x:f>SUMIF('[1]SAVDO BALANS'!$BK:$BK,K108,'[1]SAVDO BALANS'!$BL:$BL)</x:f>
        <x:v>0</x:v>
      </x:c>
      <x:c r="N108" s="594" t="n" cm="1">
        <x:f t="array" aca="1" ref="N108" ca="1">IFERROR(_xlfn.XLOOKUP($A$3,'[1]SAVDO BALANS'!$AE$11:$BH$11,_xlfn.XLOOKUP($K108,'[1]SAVDO BALANS'!$AD$13:$AD$130,'[1]SAVDO BALANS'!$AE$13:$BH$130)),0)</x:f>
        <x:v>0</x:v>
      </x:c>
      <x:c r="O108" s="383"/>
      <x:c r="P108" s="383"/>
      <x:c r="Q108" s="383"/>
      <x:c r="R108" s="383"/>
      <x:c r="S108" s="383"/>
      <x:c r="T108" s="383"/>
      <x:c r="U108" s="383"/>
      <x:c r="V108" s="383"/>
      <x:c r="W108" s="383"/>
    </x:row>
    <x:row r="109" ht="22" customHeight="1">
      <x:c r="A109" s="637"/>
      <x:c r="B109" s="415"/>
      <x:c r="C109" s="415"/>
      <x:c r="D109" s="415"/>
      <x:c r="E109" s="415"/>
      <x:c r="F109" s="415"/>
      <x:c r="G109" s="415"/>
      <x:c r="H109" s="415"/>
      <x:c r="I109" s="415"/>
      <x:c r="J109" s="415" t="s">
        <x:v>43</x:v>
      </x:c>
      <x:c r="K109" s="415" t="s">
        <x:v>236</x:v>
      </x:c>
      <x:c r="L109" s="631"/>
      <x:c r="M109" s="631" t="n">
        <x:f>SUMIF('[1]SAVDO BALANS'!$BK:$BK,K109,'[1]SAVDO BALANS'!$BL:$BL)</x:f>
        <x:v>0</x:v>
      </x:c>
      <x:c r="N109" s="631" t="n" cm="1">
        <x:f t="array" aca="1" ref="N109" ca="1">IFERROR(_xlfn.XLOOKUP($A$3,'[1]SAVDO BALANS'!$AE$11:$BH$11,_xlfn.XLOOKUP($K109,'[1]SAVDO BALANS'!$AD$13:$AD$130,'[1]SAVDO BALANS'!$AE$13:$BH$130)),0)</x:f>
        <x:v>0</x:v>
      </x:c>
      <x:c r="O109" s="415"/>
      <x:c r="P109" s="415"/>
      <x:c r="Q109" s="415"/>
      <x:c r="R109" s="415"/>
      <x:c r="S109" s="415"/>
      <x:c r="T109" s="415"/>
      <x:c r="U109" s="415"/>
      <x:c r="V109" s="415"/>
      <x:c r="W109" s="415"/>
    </x:row>
    <x:row r="110" ht="22" customHeight="1">
      <x:c r="A110" s="638"/>
      <x:c r="B110" s="383"/>
      <x:c r="C110" s="383"/>
      <x:c r="D110" s="383"/>
      <x:c r="E110" s="383"/>
      <x:c r="F110" s="383"/>
      <x:c r="G110" s="383"/>
      <x:c r="H110" s="383"/>
      <x:c r="I110" s="383"/>
      <x:c r="J110" s="383" t="s">
        <x:v>49</x:v>
      </x:c>
      <x:c r="K110" s="383" t="s">
        <x:v>237</x:v>
      </x:c>
      <x:c r="L110" s="383"/>
      <x:c r="M110" s="383"/>
      <x:c r="N110" s="383" t="n" cm="1">
        <x:f t="array" aca="1" ref="N110" ca="1">IFERROR(_xlfn.XLOOKUP($A$3,'[1]SAVDO BALANS'!$AE$11:$BH$11,_xlfn.XLOOKUP($K110,'[1]SAVDO BALANS'!$AD$13:$AD$130,'[1]SAVDO BALANS'!$AE$13:$BH$130)),0)</x:f>
        <x:v>0</x:v>
      </x:c>
      <x:c r="O110" s="383"/>
      <x:c r="P110" s="383"/>
      <x:c r="Q110" s="383"/>
      <x:c r="R110" s="383"/>
      <x:c r="S110" s="383"/>
      <x:c r="T110" s="383"/>
      <x:c r="U110" s="383"/>
      <x:c r="V110" s="383"/>
      <x:c r="W110" s="383"/>
    </x:row>
    <x:row r="111" ht="22" customHeight="1">
      <x:c r="A111" s="637"/>
      <x:c r="B111" s="415"/>
      <x:c r="C111" s="415"/>
      <x:c r="D111" s="415"/>
      <x:c r="E111" s="415"/>
      <x:c r="F111" s="415"/>
      <x:c r="G111" s="415"/>
      <x:c r="H111" s="415"/>
      <x:c r="I111" s="415"/>
      <x:c r="J111" s="415"/>
      <x:c r="K111" s="415"/>
      <x:c r="L111" s="415"/>
      <x:c r="M111" s="415"/>
      <x:c r="N111" s="415"/>
      <x:c r="O111" s="415"/>
      <x:c r="P111" s="415"/>
      <x:c r="Q111" s="415"/>
      <x:c r="R111" s="415"/>
      <x:c r="S111" s="415"/>
      <x:c r="T111" s="415"/>
      <x:c r="U111" s="415"/>
      <x:c r="V111" s="415"/>
      <x:c r="W111" s="415"/>
    </x:row>
    <x:row r="112" ht="22" customHeight="1">
      <x:c r="A112" s="638"/>
      <x:c r="B112" s="383"/>
      <x:c r="C112" s="383"/>
      <x:c r="D112" s="383"/>
      <x:c r="E112" s="383"/>
      <x:c r="F112" s="383"/>
      <x:c r="G112" s="383"/>
      <x:c r="H112" s="383"/>
      <x:c r="I112" s="383"/>
      <x:c r="J112" s="383"/>
      <x:c r="K112" s="383"/>
      <x:c r="L112" s="383"/>
      <x:c r="M112" s="383"/>
      <x:c r="N112" s="383"/>
      <x:c r="O112" s="383"/>
      <x:c r="P112" s="383"/>
      <x:c r="Q112" s="383"/>
      <x:c r="R112" s="383"/>
      <x:c r="S112" s="383"/>
      <x:c r="T112" s="383"/>
      <x:c r="U112" s="383"/>
      <x:c r="V112" s="383"/>
      <x:c r="W112" s="383"/>
    </x:row>
    <x:row r="113" ht="22" customHeight="1">
      <x:c r="A113" s="637"/>
      <x:c r="B113" s="415"/>
      <x:c r="C113" s="415"/>
      <x:c r="D113" s="415"/>
      <x:c r="E113" s="415"/>
      <x:c r="F113" s="415"/>
      <x:c r="G113" s="415"/>
      <x:c r="H113" s="415"/>
      <x:c r="I113" s="415"/>
      <x:c r="J113" s="415"/>
      <x:c r="K113" s="415"/>
      <x:c r="L113" s="415"/>
      <x:c r="M113" s="415"/>
      <x:c r="N113" s="415"/>
      <x:c r="O113" s="415"/>
      <x:c r="P113" s="415"/>
      <x:c r="Q113" s="415"/>
      <x:c r="R113" s="415"/>
      <x:c r="S113" s="415"/>
      <x:c r="T113" s="415"/>
      <x:c r="U113" s="415"/>
      <x:c r="V113" s="415"/>
      <x:c r="W113" s="415"/>
    </x:row>
    <x:row r="114" ht="22" customHeight="1">
      <x:c r="A114" s="638"/>
      <x:c r="B114" s="383"/>
      <x:c r="C114" s="383"/>
      <x:c r="D114" s="383"/>
      <x:c r="E114" s="383"/>
      <x:c r="F114" s="383"/>
      <x:c r="G114" s="383"/>
      <x:c r="H114" s="383"/>
      <x:c r="I114" s="383"/>
      <x:c r="J114" s="383"/>
      <x:c r="K114" s="383"/>
      <x:c r="L114" s="383"/>
      <x:c r="M114" s="383"/>
      <x:c r="N114" s="383"/>
      <x:c r="O114" s="383"/>
      <x:c r="P114" s="383"/>
      <x:c r="Q114" s="383"/>
      <x:c r="R114" s="383"/>
      <x:c r="S114" s="383"/>
      <x:c r="T114" s="383"/>
      <x:c r="U114" s="383"/>
      <x:c r="V114" s="383"/>
      <x:c r="W114" s="383"/>
    </x:row>
    <x:row r="115" ht="22" customHeight="1">
      <x:c r="A115" s="637"/>
      <x:c r="B115" s="415"/>
      <x:c r="C115" s="415"/>
      <x:c r="D115" s="415"/>
      <x:c r="E115" s="415"/>
      <x:c r="F115" s="415"/>
      <x:c r="G115" s="415"/>
      <x:c r="H115" s="415"/>
      <x:c r="I115" s="415"/>
      <x:c r="J115" s="415"/>
      <x:c r="K115" s="415"/>
      <x:c r="L115" s="415"/>
      <x:c r="M115" s="415"/>
      <x:c r="N115" s="415"/>
      <x:c r="O115" s="415"/>
      <x:c r="P115" s="415"/>
      <x:c r="Q115" s="415"/>
      <x:c r="R115" s="415"/>
      <x:c r="S115" s="415"/>
      <x:c r="T115" s="415"/>
      <x:c r="U115" s="415"/>
      <x:c r="V115" s="415"/>
      <x:c r="W115" s="415"/>
    </x:row>
    <x:row r="116" ht="22" customHeight="1">
      <x:c r="A116" s="638"/>
      <x:c r="B116" s="383"/>
      <x:c r="C116" s="383"/>
      <x:c r="D116" s="383"/>
      <x:c r="E116" s="383"/>
      <x:c r="F116" s="383"/>
      <x:c r="G116" s="383"/>
      <x:c r="H116" s="383"/>
      <x:c r="I116" s="383"/>
      <x:c r="J116" s="383"/>
      <x:c r="K116" s="383"/>
      <x:c r="L116" s="383"/>
      <x:c r="M116" s="383"/>
      <x:c r="N116" s="383"/>
      <x:c r="O116" s="383"/>
      <x:c r="P116" s="383"/>
      <x:c r="Q116" s="383"/>
      <x:c r="R116" s="383"/>
      <x:c r="S116" s="383"/>
      <x:c r="T116" s="383"/>
      <x:c r="U116" s="383"/>
      <x:c r="V116" s="383"/>
      <x:c r="W116" s="383"/>
    </x:row>
    <x:row r="117" ht="22" customHeight="1">
      <x:c r="A117" s="637"/>
      <x:c r="B117" s="415"/>
      <x:c r="C117" s="415"/>
      <x:c r="D117" s="415"/>
      <x:c r="E117" s="415"/>
      <x:c r="F117" s="415"/>
      <x:c r="G117" s="415"/>
      <x:c r="H117" s="415"/>
      <x:c r="I117" s="415"/>
      <x:c r="J117" s="415"/>
      <x:c r="K117" s="415"/>
      <x:c r="L117" s="415"/>
      <x:c r="M117" s="415"/>
      <x:c r="N117" s="415"/>
      <x:c r="O117" s="415"/>
      <x:c r="P117" s="415"/>
      <x:c r="Q117" s="415"/>
      <x:c r="R117" s="415"/>
      <x:c r="S117" s="415"/>
      <x:c r="T117" s="415"/>
      <x:c r="U117" s="415"/>
      <x:c r="V117" s="415"/>
      <x:c r="W117" s="415"/>
    </x:row>
    <x:row r="118" ht="22" customHeight="1">
      <x:c r="A118" s="638"/>
      <x:c r="B118" s="383"/>
      <x:c r="C118" s="383"/>
      <x:c r="D118" s="383"/>
      <x:c r="E118" s="383"/>
      <x:c r="F118" s="383"/>
      <x:c r="G118" s="383"/>
      <x:c r="H118" s="383"/>
      <x:c r="I118" s="383"/>
      <x:c r="J118" s="383"/>
      <x:c r="K118" s="383"/>
      <x:c r="L118" s="383"/>
      <x:c r="M118" s="383"/>
      <x:c r="N118" s="383"/>
      <x:c r="O118" s="383"/>
      <x:c r="P118" s="383"/>
      <x:c r="Q118" s="383"/>
      <x:c r="R118" s="383"/>
      <x:c r="S118" s="383"/>
      <x:c r="T118" s="383"/>
      <x:c r="U118" s="383"/>
      <x:c r="V118" s="383"/>
      <x:c r="W118" s="383"/>
    </x:row>
    <x:row r="119" ht="22" customHeight="1">
      <x:c r="A119" s="637"/>
      <x:c r="B119" s="415"/>
      <x:c r="C119" s="415"/>
      <x:c r="D119" s="415"/>
      <x:c r="E119" s="415"/>
      <x:c r="F119" s="415"/>
      <x:c r="G119" s="415"/>
      <x:c r="H119" s="415"/>
      <x:c r="I119" s="415"/>
      <x:c r="J119" s="415"/>
      <x:c r="K119" s="415"/>
      <x:c r="L119" s="415"/>
      <x:c r="M119" s="415"/>
      <x:c r="N119" s="415"/>
      <x:c r="O119" s="415"/>
      <x:c r="P119" s="415"/>
      <x:c r="Q119" s="415"/>
      <x:c r="R119" s="415"/>
      <x:c r="S119" s="415"/>
      <x:c r="T119" s="415"/>
      <x:c r="U119" s="415"/>
      <x:c r="V119" s="415"/>
      <x:c r="W119" s="415"/>
    </x:row>
    <x:row r="120" ht="22" customHeight="1">
      <x:c r="A120" s="638"/>
      <x:c r="B120" s="383"/>
      <x:c r="C120" s="383"/>
      <x:c r="D120" s="383"/>
      <x:c r="E120" s="383"/>
      <x:c r="F120" s="383"/>
      <x:c r="G120" s="383"/>
      <x:c r="H120" s="383"/>
      <x:c r="I120" s="383"/>
      <x:c r="J120" s="383"/>
      <x:c r="K120" s="383"/>
      <x:c r="L120" s="383"/>
      <x:c r="M120" s="383"/>
      <x:c r="N120" s="383"/>
      <x:c r="O120" s="383"/>
      <x:c r="P120" s="383"/>
      <x:c r="Q120" s="383"/>
      <x:c r="R120" s="383"/>
      <x:c r="S120" s="383"/>
      <x:c r="T120" s="383"/>
      <x:c r="U120" s="383"/>
      <x:c r="V120" s="383"/>
      <x:c r="W120" s="383"/>
    </x:row>
    <x:row r="121" ht="22" customHeight="1">
      <x:c r="A121" s="637"/>
      <x:c r="B121" s="415"/>
      <x:c r="C121" s="415"/>
      <x:c r="D121" s="415"/>
      <x:c r="E121" s="415"/>
      <x:c r="F121" s="415"/>
      <x:c r="G121" s="415"/>
      <x:c r="H121" s="415"/>
      <x:c r="I121" s="415"/>
      <x:c r="J121" s="415"/>
      <x:c r="K121" s="415"/>
      <x:c r="L121" s="415"/>
      <x:c r="M121" s="415"/>
      <x:c r="N121" s="415"/>
      <x:c r="O121" s="415"/>
      <x:c r="P121" s="415"/>
      <x:c r="Q121" s="415"/>
      <x:c r="R121" s="415"/>
      <x:c r="S121" s="415"/>
      <x:c r="T121" s="415"/>
      <x:c r="U121" s="415"/>
      <x:c r="V121" s="415"/>
      <x:c r="W121" s="415"/>
    </x:row>
    <x:row r="122" ht="22" customHeight="1">
      <x:c r="A122" s="638"/>
      <x:c r="B122" s="383"/>
      <x:c r="C122" s="383"/>
      <x:c r="D122" s="383"/>
      <x:c r="E122" s="383"/>
      <x:c r="F122" s="383"/>
      <x:c r="G122" s="383"/>
      <x:c r="H122" s="383"/>
      <x:c r="I122" s="383"/>
      <x:c r="J122" s="383"/>
      <x:c r="K122" s="383"/>
      <x:c r="L122" s="383"/>
      <x:c r="M122" s="383"/>
      <x:c r="N122" s="383"/>
      <x:c r="O122" s="383"/>
      <x:c r="P122" s="383"/>
      <x:c r="Q122" s="383"/>
      <x:c r="R122" s="383"/>
      <x:c r="S122" s="383"/>
      <x:c r="T122" s="383"/>
      <x:c r="U122" s="383"/>
      <x:c r="V122" s="383"/>
      <x:c r="W122" s="383"/>
    </x:row>
    <x:row r="123" ht="22" customHeight="1">
      <x:c r="A123" s="637"/>
      <x:c r="B123" s="415"/>
      <x:c r="C123" s="415"/>
      <x:c r="D123" s="415"/>
      <x:c r="E123" s="415"/>
      <x:c r="F123" s="415"/>
      <x:c r="G123" s="415"/>
      <x:c r="H123" s="415"/>
      <x:c r="I123" s="415"/>
      <x:c r="J123" s="415"/>
      <x:c r="K123" s="415"/>
      <x:c r="L123" s="415"/>
      <x:c r="M123" s="415"/>
      <x:c r="N123" s="415"/>
      <x:c r="O123" s="415"/>
      <x:c r="P123" s="415"/>
      <x:c r="Q123" s="415"/>
      <x:c r="R123" s="415"/>
      <x:c r="S123" s="415"/>
      <x:c r="T123" s="415"/>
      <x:c r="U123" s="415"/>
      <x:c r="V123" s="415"/>
      <x:c r="W123" s="415"/>
    </x:row>
    <x:row r="124" ht="22" customHeight="1">
      <x:c r="A124" s="638"/>
      <x:c r="B124" s="383"/>
      <x:c r="C124" s="383"/>
      <x:c r="D124" s="383"/>
      <x:c r="E124" s="383"/>
      <x:c r="F124" s="383"/>
      <x:c r="G124" s="383"/>
      <x:c r="H124" s="383"/>
      <x:c r="I124" s="383"/>
      <x:c r="J124" s="383"/>
      <x:c r="K124" s="383"/>
      <x:c r="L124" s="383"/>
      <x:c r="M124" s="383"/>
      <x:c r="N124" s="383"/>
      <x:c r="O124" s="383"/>
      <x:c r="P124" s="383"/>
      <x:c r="Q124" s="383"/>
      <x:c r="R124" s="383"/>
      <x:c r="S124" s="383"/>
      <x:c r="T124" s="383"/>
      <x:c r="U124" s="383"/>
      <x:c r="V124" s="383"/>
      <x:c r="W124" s="383"/>
    </x:row>
    <x:row r="125" ht="22" customHeight="1">
      <x:c r="A125" s="637"/>
      <x:c r="B125" s="415"/>
      <x:c r="C125" s="415"/>
      <x:c r="D125" s="415"/>
      <x:c r="E125" s="415"/>
      <x:c r="F125" s="415"/>
      <x:c r="G125" s="415"/>
      <x:c r="H125" s="415"/>
      <x:c r="I125" s="415"/>
      <x:c r="J125" s="415"/>
      <x:c r="K125" s="415"/>
      <x:c r="L125" s="415"/>
      <x:c r="M125" s="415"/>
      <x:c r="N125" s="415"/>
      <x:c r="O125" s="415"/>
      <x:c r="P125" s="415"/>
      <x:c r="Q125" s="415"/>
      <x:c r="R125" s="415"/>
      <x:c r="S125" s="415"/>
      <x:c r="T125" s="415"/>
      <x:c r="U125" s="415"/>
      <x:c r="V125" s="415"/>
      <x:c r="W125" s="415"/>
    </x:row>
    <x:row r="126" ht="22" customHeight="1">
      <x:c r="A126" s="638"/>
      <x:c r="B126" s="383"/>
      <x:c r="C126" s="383"/>
      <x:c r="D126" s="383"/>
      <x:c r="E126" s="383"/>
      <x:c r="F126" s="383"/>
      <x:c r="G126" s="383"/>
      <x:c r="H126" s="383"/>
      <x:c r="I126" s="383"/>
      <x:c r="J126" s="383"/>
      <x:c r="K126" s="383"/>
      <x:c r="L126" s="383"/>
      <x:c r="M126" s="383"/>
      <x:c r="N126" s="383"/>
      <x:c r="O126" s="383"/>
      <x:c r="P126" s="383"/>
      <x:c r="Q126" s="383"/>
      <x:c r="R126" s="383"/>
      <x:c r="S126" s="383"/>
      <x:c r="T126" s="383"/>
      <x:c r="U126" s="383"/>
      <x:c r="V126" s="383"/>
      <x:c r="W126" s="383"/>
    </x:row>
    <x:row r="127" ht="22" customHeight="1">
      <x:c r="A127" s="637"/>
      <x:c r="B127" s="415"/>
      <x:c r="C127" s="415"/>
      <x:c r="D127" s="415"/>
      <x:c r="E127" s="415"/>
      <x:c r="F127" s="415"/>
      <x:c r="G127" s="415"/>
      <x:c r="H127" s="415"/>
      <x:c r="I127" s="415"/>
      <x:c r="J127" s="415"/>
      <x:c r="K127" s="415"/>
      <x:c r="L127" s="415"/>
      <x:c r="M127" s="415"/>
      <x:c r="N127" s="415"/>
      <x:c r="O127" s="415"/>
      <x:c r="P127" s="415"/>
      <x:c r="Q127" s="415"/>
      <x:c r="R127" s="415"/>
      <x:c r="S127" s="415"/>
      <x:c r="T127" s="415"/>
      <x:c r="U127" s="415"/>
      <x:c r="V127" s="415"/>
      <x:c r="W127" s="415"/>
    </x:row>
    <x:row r="128" ht="22" customHeight="1">
      <x:c r="A128" s="638"/>
      <x:c r="B128" s="383"/>
      <x:c r="C128" s="383"/>
      <x:c r="D128" s="383"/>
      <x:c r="E128" s="383"/>
      <x:c r="F128" s="383"/>
      <x:c r="G128" s="383"/>
      <x:c r="H128" s="383"/>
      <x:c r="I128" s="383"/>
      <x:c r="J128" s="383"/>
      <x:c r="K128" s="383"/>
      <x:c r="L128" s="383"/>
      <x:c r="M128" s="383"/>
      <x:c r="N128" s="383"/>
      <x:c r="O128" s="383"/>
      <x:c r="P128" s="383"/>
      <x:c r="Q128" s="383"/>
      <x:c r="R128" s="383"/>
      <x:c r="S128" s="383"/>
      <x:c r="T128" s="383"/>
      <x:c r="U128" s="383"/>
      <x:c r="V128" s="383"/>
      <x:c r="W128" s="383"/>
    </x:row>
    <x:row r="129" ht="22" customHeight="1">
      <x:c r="A129" s="641"/>
      <x:c r="B129" s="475"/>
      <x:c r="C129" s="475"/>
      <x:c r="D129" s="475"/>
      <x:c r="E129" s="475"/>
      <x:c r="F129" s="475"/>
      <x:c r="G129" s="475"/>
      <x:c r="H129" s="475"/>
      <x:c r="I129" s="475"/>
      <x:c r="J129" s="475"/>
      <x:c r="K129" s="475"/>
      <x:c r="L129" s="475"/>
      <x:c r="M129" s="475"/>
      <x:c r="N129" s="475"/>
      <x:c r="O129" s="475"/>
      <x:c r="P129" s="475"/>
      <x:c r="Q129" s="475"/>
      <x:c r="R129" s="475"/>
      <x:c r="S129" s="475"/>
      <x:c r="T129" s="475"/>
      <x:c r="U129" s="475"/>
      <x:c r="V129" s="475"/>
      <x:c r="W129" s="475"/>
    </x:row>
  </x:sheetData>
  <x:mergeCells>
    <x:mergeCell ref="A4:A5"/>
    <x:mergeCell ref="B4:B5"/>
    <x:mergeCell ref="A3:B3"/>
    <x:mergeCell ref="C3:G3"/>
  </x:mergeCells>
  <x:conditionalFormatting sqref="A40:A41">
    <x:cfRule type="cellIs" dxfId="16" priority="14" operator="lessThan">
      <x:formula>0</x:formula>
    </x:cfRule>
    <x:cfRule type="cellIs" dxfId="15" priority="15" operator="greaterThan">
      <x:formula>0</x:formula>
    </x:cfRule>
  </x:conditionalFormatting>
  <x:conditionalFormatting sqref="F6:F25">
    <x:cfRule type="cellIs" dxfId="13" priority="10" operator="greaterThan">
      <x:formula>0</x:formula>
    </x:cfRule>
  </x:conditionalFormatting>
  <x:conditionalFormatting sqref="F5:G5 F6:F25">
    <x:cfRule type="cellIs" dxfId="12" priority="3" operator="lessThan">
      <x:formula>0</x:formula>
    </x:cfRule>
  </x:conditionalFormatting>
  <x:conditionalFormatting sqref="G5:G5">
    <x:cfRule type="cellIs" dxfId="11" priority="4" operator="greaterThanOrEqual">
      <x:formula>0</x:formula>
    </x:cfRule>
  </x:conditionalFormatting>
  <x:conditionalFormatting sqref="G6:G25">
    <x:cfRule type="cellIs" dxfId="10" priority="1" operator="lessThan">
      <x:formula>0</x:formula>
    </x:cfRule>
    <x:cfRule type="cellIs" dxfId="9" priority="2" operator="greaterThanOrEqual">
      <x:formula>0</x:formula>
    </x:cfRule>
  </x:conditionalFormatting>
  <x:conditionalFormatting sqref="M5:M5">
    <x:cfRule type="expression" dxfId="8" priority="30">
      <x:formula>$M$5=$G$5</x:formula>
    </x:cfRule>
  </x:conditionalFormatting>
  <x:conditionalFormatting sqref="N5:N5">
    <x:cfRule type="expression" dxfId="7" priority="31">
      <x:formula>$N$5=$E$5</x:formula>
    </x:cfRule>
  </x:conditionalFormatting>
  <x:conditionalFormatting sqref="F5:F129">
    <x:cfRule type="cellIs" dxfId="17" priority="32" operator="lessThan">
      <x:formula>0</x:formula>
    </x:cfRule>
  </x:conditionalFormatting>
  <x:conditionalFormatting sqref="G5:G129">
    <x:cfRule type="cellIs" dxfId="18" priority="33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9.140625" defaultRowHeight="26.25"/>
  <x:cols>
    <x:col min="1" max="1" width="16" style="23" hidden="0" customWidth="1"/>
    <x:col min="2" max="2" width="19" style="23" hidden="0" customWidth="1"/>
    <x:col min="3" max="4" width="29" style="24" customWidth="1"/>
    <x:col min="5" max="6" width="25.7109375" style="23" customWidth="1"/>
    <x:col min="7" max="7" width="13" style="23" hidden="0" customWidth="1"/>
    <x:col min="8" max="8" width="13" style="23" hidden="0" customWidth="1"/>
    <x:col min="9" max="9" width="13" style="46" hidden="0" customWidth="1"/>
    <x:col min="10" max="10" width="13" style="46" hidden="0" customWidth="1"/>
    <x:col min="11" max="12" width="25.7109375" style="46" customWidth="1"/>
    <x:col min="13" max="13" width="13" style="23" hidden="0" customWidth="1"/>
    <x:col min="14" max="14" width="13" style="23" hidden="0" customWidth="1"/>
    <x:col min="15" max="18" width="25.7109375" style="23" customWidth="1"/>
    <x:col min="19" max="19" width="13" style="24" hidden="0" customWidth="1"/>
    <x:col min="20" max="21" width="25.7109375" style="23" customWidth="1"/>
    <x:col min="22" max="22" width="13" style="24" hidden="0" customWidth="1"/>
    <x:col min="23" max="23" width="13" style="23" hidden="0" customWidth="1"/>
    <x:col min="24" max="24" width="13" style="23" hidden="0" customWidth="1"/>
    <x:col min="25" max="25" width="13" style="23" hidden="0" customWidth="1"/>
    <x:col min="26" max="26" width="13" style="74" hidden="0" customWidth="1"/>
    <x:col min="27" max="27" width="13" style="74" hidden="0" customWidth="1"/>
    <x:col min="28" max="28" width="13" style="74" hidden="0" customWidth="1"/>
    <x:col min="29" max="29" width="13" style="74" hidden="0" customWidth="1"/>
    <x:col min="30" max="35" width="13.7109375" style="74" customWidth="1"/>
    <x:col min="36" max="16384" width="9.140625" style="23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11" max="11" width="13" hidden="0" customWidth="1"/>
    <x:col min="12" max="12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20" max="20" width="13" hidden="0" customWidth="1"/>
    <x:col min="21" max="21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</x:cols>
  <x:sheetData>
    <x:row r="1" s="97" customFormat="1" ht="22" hidden="1" customHeight="1">
      <x:c r="A1" s="476"/>
      <x:c r="B1" s="457"/>
      <x:c r="C1" s="867"/>
      <x:c r="D1" s="867"/>
      <x:c r="E1" s="867"/>
      <x:c r="F1" s="457"/>
      <x:c r="G1" s="457"/>
      <x:c r="H1" s="457"/>
      <x:c r="I1" s="868"/>
      <x:c r="J1" s="868"/>
      <x:c r="K1" s="868"/>
      <x:c r="L1" s="868"/>
      <x:c r="M1" s="457"/>
      <x:c r="N1" s="457"/>
      <x:c r="O1" s="457"/>
      <x:c r="P1" s="457"/>
      <x:c r="Q1" s="457"/>
      <x:c r="R1" s="457"/>
      <x:c r="S1" s="458"/>
      <x:c r="T1" s="457"/>
      <x:c r="U1" s="457"/>
      <x:c r="V1" s="458"/>
      <x:c r="W1" s="457"/>
      <x:c r="X1" s="869"/>
      <x:c r="Y1" s="457"/>
      <x:c r="Z1" s="457"/>
      <x:c r="AA1" s="457"/>
      <x:c r="AB1" s="457"/>
      <x:c r="AC1" s="457"/>
      <x:c r="AD1" s="457"/>
      <x:c r="AE1" s="457"/>
      <x:c r="AF1" s="457"/>
      <x:c r="AG1" s="457"/>
      <x:c r="AH1" s="457"/>
      <x:c r="AI1" s="457"/>
      <x:c r="AJ1" s="457"/>
      <x:c r="AK1" s="457"/>
      <x:c r="AL1" s="457"/>
      <x:c r="AM1" s="457"/>
      <x:c r="AN1" s="457"/>
      <x:c r="AO1" s="457"/>
      <x:c r="AP1" s="457"/>
      <x:c r="AQ1" s="457"/>
      <x:c r="AR1" s="457"/>
      <x:c r="AS1" s="457"/>
      <x:c r="AT1" s="457"/>
      <x:c r="AU1" s="457"/>
      <x:c r="AV1" s="457"/>
      <x:c r="AW1" s="457"/>
      <x:c r="AX1" s="457"/>
      <x:c r="AY1" s="457"/>
      <x:c r="AZ1" s="457"/>
      <x:c r="BA1" s="457"/>
      <x:c r="BB1" s="457"/>
      <x:c r="BC1" s="457"/>
      <x:c r="BD1" s="457"/>
      <x:c r="BE1" s="457"/>
      <x:c r="BF1" s="457"/>
      <x:c r="BG1" s="457"/>
      <x:c r="BH1" s="457"/>
      <x:c r="BI1" s="457"/>
      <x:c r="BJ1" s="457"/>
      <x:c r="BK1" s="457"/>
      <x:c r="BL1" s="457"/>
      <x:c r="BM1" s="457"/>
      <x:c r="BN1" s="457"/>
      <x:c r="BO1" s="457"/>
      <x:c r="BP1" s="457"/>
      <x:c r="BQ1" s="457"/>
      <x:c r="BR1" s="457"/>
      <x:c r="BS1" s="457"/>
      <x:c r="BT1" s="457"/>
      <x:c r="BU1" s="457"/>
      <x:c r="BV1" s="457"/>
      <x:c r="BW1" s="457"/>
      <x:c r="BX1" s="457"/>
      <x:c r="BY1" s="457"/>
      <x:c r="BZ1" s="457"/>
      <x:c r="CA1" s="457"/>
      <x:c r="CB1" s="457"/>
      <x:c r="CC1" s="457"/>
      <x:c r="CD1" s="457"/>
      <x:c r="CE1" s="457"/>
      <x:c r="CF1" s="457"/>
      <x:c r="CG1" s="457"/>
      <x:c r="CH1" s="457"/>
      <x:c r="CI1" s="457"/>
      <x:c r="CJ1" s="457"/>
      <x:c r="CK1" s="457"/>
      <x:c r="CL1" s="457"/>
      <x:c r="CM1" s="457"/>
    </x:row>
    <x:row r="2" s="97" customFormat="1" ht="22" hidden="1" customHeight="1">
      <x:c r="A2" s="477"/>
      <x:c r="B2" s="402"/>
      <x:c r="C2" s="459"/>
      <x:c r="D2" s="459"/>
      <x:c r="E2" s="870"/>
      <x:c r="F2" s="402"/>
      <x:c r="G2" s="402"/>
      <x:c r="H2" s="402"/>
      <x:c r="I2" s="870"/>
      <x:c r="J2" s="870"/>
      <x:c r="K2" s="870"/>
      <x:c r="L2" s="870"/>
      <x:c r="M2" s="870"/>
      <x:c r="N2" s="870"/>
      <x:c r="O2" s="870"/>
      <x:c r="P2" s="870"/>
      <x:c r="Q2" s="870"/>
      <x:c r="R2" s="870"/>
      <x:c r="S2" s="459"/>
      <x:c r="T2" s="870"/>
      <x:c r="U2" s="870"/>
      <x:c r="V2" s="459"/>
      <x:c r="W2" s="402"/>
      <x:c r="X2" s="871"/>
      <x:c r="Y2" s="402"/>
      <x:c r="Z2" s="402"/>
      <x:c r="AA2" s="402"/>
      <x:c r="AB2" s="402"/>
      <x:c r="AC2" s="402"/>
      <x:c r="AD2" s="402"/>
      <x:c r="AE2" s="402"/>
      <x:c r="AF2" s="402"/>
      <x:c r="AG2" s="402"/>
      <x:c r="AH2" s="402"/>
      <x:c r="AI2" s="402"/>
      <x:c r="AJ2" s="402"/>
      <x:c r="AK2" s="402"/>
      <x:c r="AL2" s="402"/>
      <x:c r="AM2" s="402"/>
      <x:c r="AN2" s="402"/>
      <x:c r="AO2" s="402"/>
      <x:c r="AP2" s="402"/>
      <x:c r="AQ2" s="402"/>
      <x:c r="AR2" s="402"/>
      <x:c r="AS2" s="402"/>
      <x:c r="AT2" s="402"/>
      <x:c r="AU2" s="402"/>
      <x:c r="AV2" s="402"/>
      <x:c r="AW2" s="402"/>
      <x:c r="AX2" s="402"/>
      <x:c r="AY2" s="402"/>
      <x:c r="AZ2" s="402"/>
      <x:c r="BA2" s="402"/>
      <x:c r="BB2" s="402"/>
      <x:c r="BC2" s="402"/>
      <x:c r="BD2" s="402"/>
      <x:c r="BE2" s="402"/>
      <x:c r="BF2" s="402"/>
      <x:c r="BG2" s="402"/>
      <x:c r="BH2" s="402"/>
      <x:c r="BI2" s="402"/>
      <x:c r="BJ2" s="402"/>
      <x:c r="BK2" s="402"/>
      <x:c r="BL2" s="402"/>
      <x:c r="BM2" s="402"/>
      <x:c r="BN2" s="402"/>
      <x:c r="BO2" s="402"/>
      <x:c r="BP2" s="402"/>
      <x:c r="BQ2" s="402"/>
      <x:c r="BR2" s="402"/>
      <x:c r="BS2" s="402"/>
      <x:c r="BT2" s="402"/>
      <x:c r="BU2" s="402"/>
      <x:c r="BV2" s="402"/>
      <x:c r="BW2" s="402"/>
      <x:c r="BX2" s="402"/>
      <x:c r="BY2" s="402"/>
      <x:c r="BZ2" s="402"/>
      <x:c r="CA2" s="402"/>
      <x:c r="CB2" s="402"/>
      <x:c r="CC2" s="402"/>
      <x:c r="CD2" s="402"/>
      <x:c r="CE2" s="402"/>
      <x:c r="CF2" s="402"/>
      <x:c r="CG2" s="402"/>
      <x:c r="CH2" s="402"/>
      <x:c r="CI2" s="402"/>
      <x:c r="CJ2" s="402"/>
      <x:c r="CK2" s="402"/>
      <x:c r="CL2" s="402"/>
      <x:c r="CM2" s="402"/>
    </x:row>
    <x:row r="3" s="97" customFormat="1" ht="22" hidden="1" customHeight="1">
      <x:c r="A3" s="477"/>
      <x:c r="B3" s="402"/>
      <x:c r="C3" s="872"/>
      <x:c r="D3" s="872"/>
      <x:c r="E3" s="402"/>
      <x:c r="F3" s="870"/>
      <x:c r="G3" s="402"/>
      <x:c r="H3" s="870"/>
      <x:c r="I3" s="870"/>
      <x:c r="J3" s="870"/>
      <x:c r="K3" s="870"/>
      <x:c r="L3" s="870"/>
      <x:c r="M3" s="870"/>
      <x:c r="N3" s="870"/>
      <x:c r="O3" s="870"/>
      <x:c r="P3" s="402"/>
      <x:c r="Q3" s="402"/>
      <x:c r="R3" s="402"/>
      <x:c r="S3" s="459"/>
      <x:c r="T3" s="402"/>
      <x:c r="U3" s="402"/>
      <x:c r="V3" s="459"/>
      <x:c r="W3" s="402"/>
      <x:c r="X3" s="402"/>
      <x:c r="Y3" s="402"/>
      <x:c r="Z3" s="402"/>
      <x:c r="AA3" s="402"/>
      <x:c r="AB3" s="402"/>
      <x:c r="AC3" s="402"/>
      <x:c r="AD3" s="402"/>
      <x:c r="AE3" s="402"/>
      <x:c r="AF3" s="402"/>
      <x:c r="AG3" s="402"/>
      <x:c r="AH3" s="402"/>
      <x:c r="AI3" s="402"/>
      <x:c r="AJ3" s="402"/>
      <x:c r="AK3" s="402"/>
      <x:c r="AL3" s="402"/>
      <x:c r="AM3" s="402"/>
      <x:c r="AN3" s="402"/>
      <x:c r="AO3" s="402"/>
      <x:c r="AP3" s="402"/>
      <x:c r="AQ3" s="402"/>
      <x:c r="AR3" s="402"/>
      <x:c r="AS3" s="402"/>
      <x:c r="AT3" s="402"/>
      <x:c r="AU3" s="402"/>
      <x:c r="AV3" s="402"/>
      <x:c r="AW3" s="402"/>
      <x:c r="AX3" s="402"/>
      <x:c r="AY3" s="402"/>
      <x:c r="AZ3" s="402"/>
      <x:c r="BA3" s="402"/>
      <x:c r="BB3" s="402"/>
      <x:c r="BC3" s="402"/>
      <x:c r="BD3" s="402"/>
      <x:c r="BE3" s="402"/>
      <x:c r="BF3" s="402"/>
      <x:c r="BG3" s="402"/>
      <x:c r="BH3" s="402"/>
      <x:c r="BI3" s="402"/>
      <x:c r="BJ3" s="402"/>
      <x:c r="BK3" s="402"/>
      <x:c r="BL3" s="402"/>
      <x:c r="BM3" s="402"/>
      <x:c r="BN3" s="402"/>
      <x:c r="BO3" s="402"/>
      <x:c r="BP3" s="402"/>
      <x:c r="BQ3" s="402"/>
      <x:c r="BR3" s="402"/>
      <x:c r="BS3" s="402"/>
      <x:c r="BT3" s="402"/>
      <x:c r="BU3" s="402"/>
      <x:c r="BV3" s="402"/>
      <x:c r="BW3" s="402"/>
      <x:c r="BX3" s="402"/>
      <x:c r="BY3" s="402"/>
      <x:c r="BZ3" s="402"/>
      <x:c r="CA3" s="402"/>
      <x:c r="CB3" s="402"/>
      <x:c r="CC3" s="402"/>
      <x:c r="CD3" s="402"/>
      <x:c r="CE3" s="402"/>
      <x:c r="CF3" s="402"/>
      <x:c r="CG3" s="402"/>
      <x:c r="CH3" s="402"/>
      <x:c r="CI3" s="402"/>
      <x:c r="CJ3" s="402"/>
      <x:c r="CK3" s="402"/>
      <x:c r="CL3" s="402"/>
      <x:c r="CM3" s="402"/>
    </x:row>
    <x:row r="4" s="97" customFormat="1" ht="22" hidden="1" customHeight="1">
      <x:c r="A4" s="477"/>
      <x:c r="B4" s="402"/>
      <x:c r="C4" s="459"/>
      <x:c r="D4" s="459"/>
      <x:c r="E4" s="402"/>
      <x:c r="F4" s="402"/>
      <x:c r="G4" s="402"/>
      <x:c r="H4" s="402"/>
      <x:c r="I4" s="602"/>
      <x:c r="J4" s="602"/>
      <x:c r="K4" s="602"/>
      <x:c r="L4" s="602"/>
      <x:c r="M4" s="402"/>
      <x:c r="N4" s="402"/>
      <x:c r="O4" s="402"/>
      <x:c r="P4" s="402"/>
      <x:c r="Q4" s="402"/>
      <x:c r="R4" s="402"/>
      <x:c r="S4" s="459"/>
      <x:c r="T4" s="402"/>
      <x:c r="U4" s="402"/>
      <x:c r="V4" s="459"/>
      <x:c r="W4" s="402"/>
      <x:c r="X4" s="402"/>
      <x:c r="Y4" s="402"/>
      <x:c r="Z4" s="402"/>
      <x:c r="AA4" s="402"/>
      <x:c r="AB4" s="402"/>
      <x:c r="AC4" s="402"/>
      <x:c r="AD4" s="402"/>
      <x:c r="AE4" s="402"/>
      <x:c r="AF4" s="402"/>
      <x:c r="AG4" s="402"/>
      <x:c r="AH4" s="402"/>
      <x:c r="AI4" s="402"/>
      <x:c r="AJ4" s="402"/>
      <x:c r="AK4" s="402"/>
      <x:c r="AL4" s="402"/>
      <x:c r="AM4" s="402"/>
      <x:c r="AN4" s="402"/>
      <x:c r="AO4" s="402"/>
      <x:c r="AP4" s="402"/>
      <x:c r="AQ4" s="402"/>
      <x:c r="AR4" s="402"/>
      <x:c r="AS4" s="402"/>
      <x:c r="AT4" s="402"/>
      <x:c r="AU4" s="402"/>
      <x:c r="AV4" s="402"/>
      <x:c r="AW4" s="402"/>
      <x:c r="AX4" s="402"/>
      <x:c r="AY4" s="402"/>
      <x:c r="AZ4" s="402"/>
      <x:c r="BA4" s="402"/>
      <x:c r="BB4" s="402"/>
      <x:c r="BC4" s="402"/>
      <x:c r="BD4" s="402"/>
      <x:c r="BE4" s="402"/>
      <x:c r="BF4" s="402"/>
      <x:c r="BG4" s="402"/>
      <x:c r="BH4" s="402"/>
      <x:c r="BI4" s="402"/>
      <x:c r="BJ4" s="402"/>
      <x:c r="BK4" s="402"/>
      <x:c r="BL4" s="402"/>
      <x:c r="BM4" s="402"/>
      <x:c r="BN4" s="402"/>
      <x:c r="BO4" s="402"/>
      <x:c r="BP4" s="402"/>
      <x:c r="BQ4" s="402"/>
      <x:c r="BR4" s="402"/>
      <x:c r="BS4" s="402"/>
      <x:c r="BT4" s="402"/>
      <x:c r="BU4" s="402"/>
      <x:c r="BV4" s="402"/>
      <x:c r="BW4" s="402"/>
      <x:c r="BX4" s="402"/>
      <x:c r="BY4" s="402"/>
      <x:c r="BZ4" s="402"/>
      <x:c r="CA4" s="402"/>
      <x:c r="CB4" s="402"/>
      <x:c r="CC4" s="402"/>
      <x:c r="CD4" s="402"/>
      <x:c r="CE4" s="402"/>
      <x:c r="CF4" s="402"/>
      <x:c r="CG4" s="402"/>
      <x:c r="CH4" s="402"/>
      <x:c r="CI4" s="402"/>
      <x:c r="CJ4" s="402"/>
      <x:c r="CK4" s="402"/>
      <x:c r="CL4" s="402"/>
      <x:c r="CM4" s="402"/>
    </x:row>
    <x:row r="5" s="97" customFormat="1" ht="22" hidden="1" customHeight="1">
      <x:c r="A5" s="477"/>
      <x:c r="B5" s="402"/>
      <x:c r="C5" s="459"/>
      <x:c r="D5" s="459"/>
      <x:c r="E5" s="402"/>
      <x:c r="F5" s="402"/>
      <x:c r="G5" s="873"/>
      <x:c r="H5" s="873"/>
      <x:c r="I5" s="874"/>
      <x:c r="J5" s="874"/>
      <x:c r="K5" s="874"/>
      <x:c r="L5" s="874"/>
      <x:c r="M5" s="874"/>
      <x:c r="N5" s="874"/>
      <x:c r="O5" s="874"/>
      <x:c r="P5" s="874"/>
      <x:c r="Q5" s="871"/>
      <x:c r="R5" s="402"/>
      <x:c r="S5" s="459"/>
      <x:c r="T5" s="871"/>
      <x:c r="U5" s="871"/>
      <x:c r="V5" s="459"/>
      <x:c r="W5" s="402"/>
      <x:c r="X5" s="402"/>
      <x:c r="Y5" s="402"/>
      <x:c r="Z5" s="402"/>
      <x:c r="AA5" s="402"/>
      <x:c r="AB5" s="402"/>
      <x:c r="AC5" s="402"/>
      <x:c r="AD5" s="402"/>
      <x:c r="AE5" s="402"/>
      <x:c r="AF5" s="402"/>
      <x:c r="AG5" s="402"/>
      <x:c r="AH5" s="402"/>
      <x:c r="AI5" s="402"/>
      <x:c r="AJ5" s="402"/>
      <x:c r="AK5" s="402"/>
      <x:c r="AL5" s="402"/>
      <x:c r="AM5" s="402"/>
      <x:c r="AN5" s="402"/>
      <x:c r="AO5" s="402"/>
      <x:c r="AP5" s="402"/>
      <x:c r="AQ5" s="402"/>
      <x:c r="AR5" s="402"/>
      <x:c r="AS5" s="402"/>
      <x:c r="AT5" s="402"/>
      <x:c r="AU5" s="402"/>
      <x:c r="AV5" s="402"/>
      <x:c r="AW5" s="402"/>
      <x:c r="AX5" s="402"/>
      <x:c r="AY5" s="402"/>
      <x:c r="AZ5" s="402"/>
      <x:c r="BA5" s="402"/>
      <x:c r="BB5" s="402"/>
      <x:c r="BC5" s="402"/>
      <x:c r="BD5" s="402"/>
      <x:c r="BE5" s="402"/>
      <x:c r="BF5" s="402"/>
      <x:c r="BG5" s="402"/>
      <x:c r="BH5" s="402"/>
      <x:c r="BI5" s="402"/>
      <x:c r="BJ5" s="402"/>
      <x:c r="BK5" s="402"/>
      <x:c r="BL5" s="402"/>
      <x:c r="BM5" s="402"/>
      <x:c r="BN5" s="402"/>
      <x:c r="BO5" s="402"/>
      <x:c r="BP5" s="402"/>
      <x:c r="BQ5" s="402"/>
      <x:c r="BR5" s="402"/>
      <x:c r="BS5" s="402"/>
      <x:c r="BT5" s="402"/>
      <x:c r="BU5" s="402"/>
      <x:c r="BV5" s="402"/>
      <x:c r="BW5" s="402"/>
      <x:c r="BX5" s="402"/>
      <x:c r="BY5" s="402"/>
      <x:c r="BZ5" s="402"/>
      <x:c r="CA5" s="402"/>
      <x:c r="CB5" s="402"/>
      <x:c r="CC5" s="402"/>
      <x:c r="CD5" s="402"/>
      <x:c r="CE5" s="402"/>
      <x:c r="CF5" s="402"/>
      <x:c r="CG5" s="402"/>
      <x:c r="CH5" s="402"/>
      <x:c r="CI5" s="402"/>
      <x:c r="CJ5" s="402"/>
      <x:c r="CK5" s="402"/>
      <x:c r="CL5" s="402"/>
      <x:c r="CM5" s="402"/>
    </x:row>
    <x:row r="6" s="97" customFormat="1" ht="22" hidden="1" customHeight="1">
      <x:c r="A6" s="477"/>
      <x:c r="B6" s="402"/>
      <x:c r="C6" s="459" t="s">
        <x:v>238</x:v>
      </x:c>
      <x:c r="D6" s="875"/>
      <x:c r="E6" s="875"/>
      <x:c r="F6" s="875"/>
      <x:c r="G6" s="876"/>
      <x:c r="H6" s="876"/>
      <x:c r="I6" s="874"/>
      <x:c r="J6" s="874"/>
      <x:c r="K6" s="874"/>
      <x:c r="L6" s="877"/>
      <x:c r="M6" s="877"/>
      <x:c r="N6" s="877"/>
      <x:c r="O6" s="877"/>
      <x:c r="P6" s="877"/>
      <x:c r="Q6" s="871"/>
      <x:c r="R6" s="402"/>
      <x:c r="S6" s="459" t="s">
        <x:v>239</x:v>
      </x:c>
      <x:c r="T6" s="871"/>
      <x:c r="U6" s="871"/>
      <x:c r="V6" s="459"/>
      <x:c r="W6" s="402"/>
      <x:c r="X6" s="402"/>
      <x:c r="Y6" s="402"/>
      <x:c r="Z6" s="402"/>
      <x:c r="AA6" s="402"/>
      <x:c r="AB6" s="402"/>
      <x:c r="AC6" s="402"/>
      <x:c r="AD6" s="402"/>
      <x:c r="AE6" s="402"/>
      <x:c r="AF6" s="402"/>
      <x:c r="AG6" s="402"/>
      <x:c r="AH6" s="402"/>
      <x:c r="AI6" s="402"/>
      <x:c r="AJ6" s="402"/>
      <x:c r="AK6" s="402"/>
      <x:c r="AL6" s="402"/>
      <x:c r="AM6" s="402"/>
      <x:c r="AN6" s="402"/>
      <x:c r="AO6" s="402"/>
      <x:c r="AP6" s="402"/>
      <x:c r="AQ6" s="402"/>
      <x:c r="AR6" s="402"/>
      <x:c r="AS6" s="402"/>
      <x:c r="AT6" s="402"/>
      <x:c r="AU6" s="402"/>
      <x:c r="AV6" s="402"/>
      <x:c r="AW6" s="402"/>
      <x:c r="AX6" s="402"/>
      <x:c r="AY6" s="402"/>
      <x:c r="AZ6" s="402"/>
      <x:c r="BA6" s="402"/>
      <x:c r="BB6" s="402"/>
      <x:c r="BC6" s="402"/>
      <x:c r="BD6" s="402"/>
      <x:c r="BE6" s="402"/>
      <x:c r="BF6" s="402"/>
      <x:c r="BG6" s="402"/>
      <x:c r="BH6" s="402"/>
      <x:c r="BI6" s="402"/>
      <x:c r="BJ6" s="402"/>
      <x:c r="BK6" s="402"/>
      <x:c r="BL6" s="402"/>
      <x:c r="BM6" s="402"/>
      <x:c r="BN6" s="402"/>
      <x:c r="BO6" s="402"/>
      <x:c r="BP6" s="402"/>
      <x:c r="BQ6" s="402"/>
      <x:c r="BR6" s="402"/>
      <x:c r="BS6" s="402"/>
      <x:c r="BT6" s="402"/>
      <x:c r="BU6" s="402"/>
      <x:c r="BV6" s="402"/>
      <x:c r="BW6" s="402"/>
      <x:c r="BX6" s="402"/>
      <x:c r="BY6" s="402"/>
      <x:c r="BZ6" s="402"/>
      <x:c r="CA6" s="402"/>
      <x:c r="CB6" s="402"/>
      <x:c r="CC6" s="402"/>
      <x:c r="CD6" s="402"/>
      <x:c r="CE6" s="402"/>
      <x:c r="CF6" s="402"/>
      <x:c r="CG6" s="402"/>
      <x:c r="CH6" s="402"/>
      <x:c r="CI6" s="402"/>
      <x:c r="CJ6" s="402"/>
      <x:c r="CK6" s="402"/>
      <x:c r="CL6" s="402"/>
      <x:c r="CM6" s="402"/>
    </x:row>
    <x:row r="7" s="97" customFormat="1" ht="22" hidden="1" customHeight="1">
      <x:c r="A7" s="477"/>
      <x:c r="B7" s="402"/>
      <x:c r="C7" s="459" t="s">
        <x:v>240</x:v>
      </x:c>
      <x:c r="D7" s="459"/>
      <x:c r="E7" s="602"/>
      <x:c r="F7" s="602"/>
      <x:c r="G7" s="876"/>
      <x:c r="H7" s="876"/>
      <x:c r="I7" s="874" t="s">
        <x:v>130</x:v>
      </x:c>
      <x:c r="J7" s="874"/>
      <x:c r="K7" s="874"/>
      <x:c r="L7" s="877"/>
      <x:c r="M7" s="877"/>
      <x:c r="N7" s="877"/>
      <x:c r="O7" s="877"/>
      <x:c r="P7" s="877"/>
      <x:c r="Q7" s="871"/>
      <x:c r="R7" s="402"/>
      <x:c r="S7" s="459" t="s">
        <x:v>241</x:v>
      </x:c>
      <x:c r="T7" s="871"/>
      <x:c r="U7" s="871"/>
      <x:c r="V7" s="459"/>
      <x:c r="W7" s="402"/>
      <x:c r="X7" s="402"/>
      <x:c r="Y7" s="402"/>
      <x:c r="Z7" s="402"/>
      <x:c r="AA7" s="402"/>
      <x:c r="AB7" s="402"/>
      <x:c r="AC7" s="402"/>
      <x:c r="AD7" s="402"/>
      <x:c r="AE7" s="402"/>
      <x:c r="AF7" s="402"/>
      <x:c r="AG7" s="402"/>
      <x:c r="AH7" s="402"/>
      <x:c r="AI7" s="402"/>
      <x:c r="AJ7" s="402"/>
      <x:c r="AK7" s="402"/>
      <x:c r="AL7" s="402"/>
      <x:c r="AM7" s="402"/>
      <x:c r="AN7" s="402"/>
      <x:c r="AO7" s="402"/>
      <x:c r="AP7" s="402"/>
      <x:c r="AQ7" s="402"/>
      <x:c r="AR7" s="402"/>
      <x:c r="AS7" s="402"/>
      <x:c r="AT7" s="402"/>
      <x:c r="AU7" s="402"/>
      <x:c r="AV7" s="402"/>
      <x:c r="AW7" s="402"/>
      <x:c r="AX7" s="402"/>
      <x:c r="AY7" s="402"/>
      <x:c r="AZ7" s="402"/>
      <x:c r="BA7" s="402"/>
      <x:c r="BB7" s="402"/>
      <x:c r="BC7" s="402"/>
      <x:c r="BD7" s="402"/>
      <x:c r="BE7" s="402"/>
      <x:c r="BF7" s="402"/>
      <x:c r="BG7" s="402"/>
      <x:c r="BH7" s="402"/>
      <x:c r="BI7" s="402"/>
      <x:c r="BJ7" s="402"/>
      <x:c r="BK7" s="402"/>
      <x:c r="BL7" s="402"/>
      <x:c r="BM7" s="402"/>
      <x:c r="BN7" s="402"/>
      <x:c r="BO7" s="402"/>
      <x:c r="BP7" s="402"/>
      <x:c r="BQ7" s="402"/>
      <x:c r="BR7" s="402"/>
      <x:c r="BS7" s="402"/>
      <x:c r="BT7" s="402"/>
      <x:c r="BU7" s="402"/>
      <x:c r="BV7" s="402"/>
      <x:c r="BW7" s="402"/>
      <x:c r="BX7" s="402"/>
      <x:c r="BY7" s="402"/>
      <x:c r="BZ7" s="402"/>
      <x:c r="CA7" s="402"/>
      <x:c r="CB7" s="402"/>
      <x:c r="CC7" s="402"/>
      <x:c r="CD7" s="402"/>
      <x:c r="CE7" s="402"/>
      <x:c r="CF7" s="402"/>
      <x:c r="CG7" s="402"/>
      <x:c r="CH7" s="402"/>
      <x:c r="CI7" s="402"/>
      <x:c r="CJ7" s="402"/>
      <x:c r="CK7" s="402"/>
      <x:c r="CL7" s="402"/>
      <x:c r="CM7" s="402"/>
    </x:row>
    <x:row r="8" s="97" customFormat="1" ht="22" customHeight="1">
      <x:c r="A8" s="477"/>
      <x:c r="B8" s="604" t="n">
        <x:f ca="1">'KASSA SOF'!A1</x:f>
        <x:v>46214</x:v>
      </x:c>
      <x:c r="C8" s="604"/>
      <x:c r="D8" s="604"/>
      <x:c r="E8" s="604"/>
      <x:c r="F8" s="604"/>
      <x:c r="G8" s="604"/>
      <x:c r="H8" s="604"/>
      <x:c r="I8" s="604"/>
      <x:c r="J8" s="604"/>
      <x:c r="K8" s="604"/>
      <x:c r="L8" s="604"/>
      <x:c r="M8" s="604"/>
      <x:c r="N8" s="604"/>
      <x:c r="O8" s="604"/>
      <x:c r="P8" s="604"/>
      <x:c r="Q8" s="604"/>
      <x:c r="R8" s="604"/>
      <x:c r="S8" s="604"/>
      <x:c r="T8" s="604"/>
      <x:c r="U8" s="604"/>
      <x:c r="V8" s="604"/>
      <x:c r="W8" s="402"/>
      <x:c r="X8" s="402"/>
      <x:c r="Y8" s="402"/>
      <x:c r="Z8" s="402"/>
      <x:c r="AA8" s="402"/>
      <x:c r="AB8" s="402"/>
      <x:c r="AC8" s="402"/>
      <x:c r="AD8" s="402"/>
      <x:c r="AE8" s="402"/>
      <x:c r="AF8" s="402"/>
      <x:c r="AG8" s="402"/>
      <x:c r="AH8" s="402"/>
      <x:c r="AI8" s="402"/>
      <x:c r="AJ8" s="402"/>
      <x:c r="AK8" s="402"/>
      <x:c r="AL8" s="402"/>
      <x:c r="AM8" s="402"/>
      <x:c r="AN8" s="402"/>
      <x:c r="AO8" s="402"/>
      <x:c r="AP8" s="402"/>
      <x:c r="AQ8" s="402"/>
      <x:c r="AR8" s="402"/>
      <x:c r="AS8" s="402"/>
      <x:c r="AT8" s="402"/>
      <x:c r="AU8" s="402"/>
      <x:c r="AV8" s="402"/>
      <x:c r="AW8" s="402"/>
      <x:c r="AX8" s="402"/>
      <x:c r="AY8" s="402"/>
      <x:c r="AZ8" s="402"/>
      <x:c r="BA8" s="402"/>
      <x:c r="BB8" s="402"/>
      <x:c r="BC8" s="402"/>
      <x:c r="BD8" s="402"/>
      <x:c r="BE8" s="402"/>
      <x:c r="BF8" s="402"/>
      <x:c r="BG8" s="402"/>
      <x:c r="BH8" s="402"/>
      <x:c r="BI8" s="402"/>
      <x:c r="BJ8" s="402"/>
      <x:c r="BK8" s="402"/>
      <x:c r="BL8" s="402"/>
      <x:c r="BM8" s="402"/>
      <x:c r="BN8" s="402"/>
      <x:c r="BO8" s="402"/>
      <x:c r="BP8" s="402"/>
      <x:c r="BQ8" s="402"/>
      <x:c r="BR8" s="402"/>
      <x:c r="BS8" s="402"/>
      <x:c r="BT8" s="402"/>
      <x:c r="BU8" s="402"/>
      <x:c r="BV8" s="402"/>
      <x:c r="BW8" s="402"/>
      <x:c r="BX8" s="402"/>
      <x:c r="BY8" s="402"/>
      <x:c r="BZ8" s="402"/>
      <x:c r="CA8" s="402"/>
      <x:c r="CB8" s="402"/>
      <x:c r="CC8" s="402"/>
      <x:c r="CD8" s="402"/>
      <x:c r="CE8" s="402"/>
      <x:c r="CF8" s="402"/>
      <x:c r="CG8" s="402"/>
      <x:c r="CH8" s="402"/>
      <x:c r="CI8" s="402"/>
      <x:c r="CJ8" s="402"/>
      <x:c r="CK8" s="402"/>
      <x:c r="CL8" s="402"/>
      <x:c r="CM8" s="402"/>
    </x:row>
    <x:row r="9" s="97" customFormat="1" ht="22" customHeight="1">
      <x:c r="A9" s="423"/>
      <x:c r="B9" s="412"/>
      <x:c r="C9" s="467" t="n">
        <x:f>SUM(C12:C31)</x:f>
        <x:v>2161000</x:v>
      </x:c>
      <x:c r="D9" s="467"/>
      <x:c r="E9" s="888"/>
      <x:c r="F9" s="888"/>
      <x:c r="G9" s="412"/>
      <x:c r="H9" s="412" t="s">
        <x:v>179</x:v>
      </x:c>
      <x:c r="I9" s="412"/>
      <x:c r="J9" s="412" t="s">
        <x:v>242</x:v>
      </x:c>
      <x:c r="K9" s="412"/>
      <x:c r="L9" s="412"/>
      <x:c r="M9" s="412" t="s">
        <x:v>243</x:v>
      </x:c>
      <x:c r="N9" s="412"/>
      <x:c r="O9" s="412"/>
      <x:c r="P9" s="412"/>
      <x:c r="Q9" s="412"/>
      <x:c r="R9" s="412"/>
      <x:c r="S9" s="412"/>
      <x:c r="T9" s="412"/>
      <x:c r="U9" s="467" t="n">
        <x:f>SUM(U12:U31)</x:f>
        <x:v>0</x:v>
      </x:c>
      <x:c r="V9" s="467"/>
      <x:c r="W9" s="412"/>
      <x:c r="X9" s="412"/>
      <x:c r="Y9" s="412"/>
      <x:c r="Z9" s="412"/>
      <x:c r="AA9" s="412"/>
      <x:c r="AB9" s="412" t="s">
        <x:v>244</x:v>
      </x:c>
      <x:c r="AC9" s="412"/>
      <x:c r="AD9" s="412"/>
      <x:c r="AE9" s="412"/>
      <x:c r="AF9" s="412"/>
      <x:c r="AG9" s="412"/>
      <x:c r="AH9" s="412"/>
      <x:c r="AI9" s="412"/>
      <x:c r="AJ9" s="412"/>
      <x:c r="AK9" s="412"/>
      <x:c r="AL9" s="412"/>
      <x:c r="AM9" s="412"/>
      <x:c r="AN9" s="412"/>
      <x:c r="AO9" s="412"/>
      <x:c r="AP9" s="412"/>
      <x:c r="AQ9" s="412"/>
      <x:c r="AR9" s="412"/>
      <x:c r="AS9" s="412"/>
      <x:c r="AT9" s="412"/>
      <x:c r="AU9" s="412"/>
      <x:c r="AV9" s="412"/>
      <x:c r="AW9" s="412"/>
      <x:c r="AX9" s="412"/>
      <x:c r="AY9" s="412"/>
      <x:c r="AZ9" s="412"/>
      <x:c r="BA9" s="412"/>
      <x:c r="BB9" s="412"/>
      <x:c r="BC9" s="412"/>
      <x:c r="BD9" s="412"/>
      <x:c r="BE9" s="412"/>
      <x:c r="BF9" s="412"/>
      <x:c r="BG9" s="412"/>
      <x:c r="BH9" s="412"/>
      <x:c r="BI9" s="412"/>
      <x:c r="BJ9" s="412"/>
      <x:c r="BK9" s="412"/>
      <x:c r="BL9" s="412"/>
      <x:c r="BM9" s="412"/>
      <x:c r="BN9" s="412"/>
      <x:c r="BO9" s="412"/>
      <x:c r="BP9" s="412"/>
      <x:c r="BQ9" s="412"/>
      <x:c r="BR9" s="412"/>
      <x:c r="BS9" s="412"/>
      <x:c r="BT9" s="412"/>
      <x:c r="BU9" s="412"/>
      <x:c r="BV9" s="412"/>
      <x:c r="BW9" s="412"/>
      <x:c r="BX9" s="412"/>
      <x:c r="BY9" s="412"/>
      <x:c r="BZ9" s="412"/>
      <x:c r="CA9" s="412"/>
      <x:c r="CB9" s="412"/>
      <x:c r="CC9" s="412"/>
      <x:c r="CD9" s="412"/>
      <x:c r="CE9" s="412"/>
      <x:c r="CF9" s="412"/>
      <x:c r="CG9" s="412"/>
      <x:c r="CH9" s="412"/>
      <x:c r="CI9" s="412"/>
      <x:c r="CJ9" s="412"/>
      <x:c r="CK9" s="412"/>
      <x:c r="CL9" s="412"/>
      <x:c r="CM9" s="412"/>
    </x:row>
    <x:row r="10" s="97" customFormat="1" ht="22" customHeight="1">
      <x:c r="A10" s="479"/>
      <x:c r="B10" s="625" t="s">
        <x:v>144</x:v>
      </x:c>
      <x:c r="C10" s="625"/>
      <x:c r="D10" s="625"/>
      <x:c r="E10" s="889"/>
      <x:c r="F10" s="889"/>
      <x:c r="G10" s="415"/>
      <x:c r="H10" s="890"/>
      <x:c r="I10" s="620"/>
      <x:c r="J10" s="890"/>
      <x:c r="K10" s="625"/>
      <x:c r="L10" s="620"/>
      <x:c r="M10" s="625"/>
      <x:c r="N10" s="625"/>
      <x:c r="O10" s="620"/>
      <x:c r="P10" s="415"/>
      <x:c r="Q10" s="415"/>
      <x:c r="R10" s="415"/>
      <x:c r="S10" s="625" t="s">
        <x:v>152</x:v>
      </x:c>
      <x:c r="T10" s="625"/>
      <x:c r="U10" s="625"/>
      <x:c r="V10" s="625"/>
      <x:c r="W10" s="624"/>
      <x:c r="X10" s="624"/>
      <x:c r="Y10" s="624"/>
      <x:c r="Z10" s="624"/>
      <x:c r="AA10" s="624"/>
      <x:c r="AB10" s="624"/>
      <x:c r="AC10" s="624"/>
      <x:c r="AD10" s="624"/>
      <x:c r="AE10" s="624"/>
      <x:c r="AF10" s="624"/>
      <x:c r="AG10" s="624"/>
      <x:c r="AH10" s="624"/>
      <x:c r="AI10" s="624"/>
      <x:c r="AJ10" s="415"/>
      <x:c r="AK10" s="415"/>
      <x:c r="AL10" s="415"/>
      <x:c r="AM10" s="415"/>
      <x:c r="AN10" s="415"/>
      <x:c r="AO10" s="415"/>
      <x:c r="AP10" s="415"/>
      <x:c r="AQ10" s="415"/>
      <x:c r="AR10" s="415"/>
      <x:c r="AS10" s="415"/>
      <x:c r="AT10" s="415"/>
      <x:c r="AU10" s="415"/>
      <x:c r="AV10" s="415"/>
      <x:c r="AW10" s="415"/>
      <x:c r="AX10" s="415"/>
      <x:c r="AY10" s="415"/>
      <x:c r="AZ10" s="415"/>
      <x:c r="BA10" s="415"/>
      <x:c r="BB10" s="415"/>
      <x:c r="BC10" s="415"/>
      <x:c r="BD10" s="415"/>
      <x:c r="BE10" s="415"/>
      <x:c r="BF10" s="415"/>
      <x:c r="BG10" s="415"/>
      <x:c r="BH10" s="415"/>
      <x:c r="BI10" s="415"/>
      <x:c r="BJ10" s="415"/>
      <x:c r="BK10" s="415"/>
      <x:c r="BL10" s="415"/>
      <x:c r="BM10" s="415"/>
      <x:c r="BN10" s="415"/>
      <x:c r="BO10" s="415"/>
      <x:c r="BP10" s="415"/>
      <x:c r="BQ10" s="415"/>
      <x:c r="BR10" s="415"/>
      <x:c r="BS10" s="415"/>
      <x:c r="BT10" s="415"/>
      <x:c r="BU10" s="415"/>
      <x:c r="BV10" s="415"/>
      <x:c r="BW10" s="415"/>
      <x:c r="BX10" s="415"/>
      <x:c r="BY10" s="415"/>
      <x:c r="BZ10" s="415"/>
      <x:c r="CA10" s="415"/>
      <x:c r="CB10" s="415"/>
      <x:c r="CC10" s="415"/>
      <x:c r="CD10" s="415"/>
      <x:c r="CE10" s="415"/>
      <x:c r="CF10" s="415"/>
      <x:c r="CG10" s="415"/>
      <x:c r="CH10" s="415"/>
      <x:c r="CI10" s="415"/>
      <x:c r="CJ10" s="415"/>
      <x:c r="CK10" s="415"/>
      <x:c r="CL10" s="415"/>
      <x:c r="CM10" s="415"/>
    </x:row>
    <x:row r="11" s="97" customFormat="1" ht="22" customHeight="1">
      <x:c r="A11" s="480"/>
      <x:c r="B11" s="589" t="s">
        <x:v>245</x:v>
      </x:c>
      <x:c r="C11" s="796" t="s">
        <x:v>246</x:v>
      </x:c>
      <x:c r="D11" s="796"/>
      <x:c r="E11" s="793"/>
      <x:c r="F11" s="793"/>
      <x:c r="G11" s="383"/>
      <x:c r="H11" s="794"/>
      <x:c r="I11" s="579"/>
      <x:c r="J11" s="797" t="n">
        <x:f>SUM(J12:J31)</x:f>
        <x:v>2058212300</x:v>
      </x:c>
      <x:c r="K11" s="798"/>
      <x:c r="L11" s="799"/>
      <x:c r="M11" s="798" t="n">
        <x:f>SUM(M12:N31)</x:f>
        <x:v>75782754</x:v>
      </x:c>
      <x:c r="N11" s="798"/>
      <x:c r="O11" s="799"/>
      <x:c r="P11" s="383"/>
      <x:c r="Q11" s="383"/>
      <x:c r="R11" s="383"/>
      <x:c r="S11" s="800" t="s">
        <x:v>245</x:v>
      </x:c>
      <x:c r="T11" s="800"/>
      <x:c r="U11" s="801" t="s">
        <x:v>246</x:v>
      </x:c>
      <x:c r="V11" s="801"/>
      <x:c r="W11" s="574"/>
      <x:c r="X11" s="574"/>
      <x:c r="Y11" s="574"/>
      <x:c r="Z11" s="574"/>
      <x:c r="AA11" s="574" t="s">
        <x:v>244</x:v>
      </x:c>
      <x:c r="AB11" s="574"/>
      <x:c r="AC11" s="574"/>
      <x:c r="AD11" s="574"/>
      <x:c r="AE11" s="574"/>
      <x:c r="AF11" s="574"/>
      <x:c r="AG11" s="574"/>
      <x:c r="AH11" s="574"/>
      <x:c r="AI11" s="574"/>
      <x:c r="AJ11" s="383"/>
      <x:c r="AK11" s="383"/>
      <x:c r="AL11" s="383"/>
      <x:c r="AM11" s="383"/>
      <x:c r="AN11" s="383"/>
      <x:c r="AO11" s="383"/>
      <x:c r="AP11" s="383"/>
      <x:c r="AQ11" s="383"/>
      <x:c r="AR11" s="383"/>
      <x:c r="AS11" s="383"/>
      <x:c r="AT11" s="383"/>
      <x:c r="AU11" s="383"/>
      <x:c r="AV11" s="383"/>
      <x:c r="AW11" s="383"/>
      <x:c r="AX11" s="383"/>
      <x:c r="AY11" s="383"/>
      <x:c r="AZ11" s="383"/>
      <x:c r="BA11" s="383"/>
      <x:c r="BB11" s="383"/>
      <x:c r="BC11" s="383"/>
      <x:c r="BD11" s="383"/>
      <x:c r="BE11" s="383"/>
      <x:c r="BF11" s="383"/>
      <x:c r="BG11" s="383"/>
      <x:c r="BH11" s="383"/>
      <x:c r="BI11" s="383"/>
      <x:c r="BJ11" s="383"/>
      <x:c r="BK11" s="383"/>
      <x:c r="BL11" s="383"/>
      <x:c r="BM11" s="383"/>
      <x:c r="BN11" s="383"/>
      <x:c r="BO11" s="383"/>
      <x:c r="BP11" s="383"/>
      <x:c r="BQ11" s="383"/>
      <x:c r="BR11" s="383"/>
      <x:c r="BS11" s="383"/>
      <x:c r="BT11" s="383"/>
      <x:c r="BU11" s="383"/>
      <x:c r="BV11" s="383"/>
      <x:c r="BW11" s="383"/>
      <x:c r="BX11" s="383"/>
      <x:c r="BY11" s="383"/>
      <x:c r="BZ11" s="383"/>
      <x:c r="CA11" s="383"/>
      <x:c r="CB11" s="383"/>
      <x:c r="CC11" s="383"/>
      <x:c r="CD11" s="383"/>
      <x:c r="CE11" s="383"/>
      <x:c r="CF11" s="383"/>
      <x:c r="CG11" s="383"/>
      <x:c r="CH11" s="383"/>
      <x:c r="CI11" s="383"/>
      <x:c r="CJ11" s="383"/>
      <x:c r="CK11" s="383"/>
      <x:c r="CL11" s="383"/>
      <x:c r="CM11" s="383"/>
    </x:row>
    <x:row r="12" s="97" customFormat="1" ht="22" customHeight="1">
      <x:c r="A12" s="479"/>
      <x:c r="B12" s="415" t="str">
        <x:f>_xlfn.XLOOKUP(E12,$AD$12:$AD$31,$Y$12:$Y$31,"")</x:f>
        <x:v>Andijon</x:v>
      </x:c>
      <x:c r="C12" s="891" t="n">
        <x:f t="shared" ref="C12:C31" si="0">_xlfn.XLOOKUP(E12,$AD$12:$AD$31,$AC$12:$AC$31,"")</x:f>
        <x:v>14000</x:v>
      </x:c>
      <x:c r="D12" s="891"/>
      <x:c r="E12" s="415">
        <x:v>1</x:v>
      </x:c>
      <x:c r="F12" s="892"/>
      <x:c r="G12" s="415"/>
      <x:c r="H12" s="893" t="s">
        <x:v>17</x:v>
      </x:c>
      <x:c r="I12" s="894" t="s">
        <x:v>157</x:v>
      </x:c>
      <x:c r="J12" s="895" t="n" cm="1">
        <x:f t="array" ref="J12">IFERROR(_xlfn.XLOOKUP($I$7,Pivot!$B$2:$EU$2,_xlfn.XLOOKUP($I12,Pivot!$A$11:$A$35,Pivot!$B$11:$EU$35),0,0),0)</x:f>
        <x:v>48526400</x:v>
      </x:c>
      <x:c r="K12" s="895"/>
      <x:c r="L12" s="895"/>
      <x:c r="M12" s="895" t="n">
        <x:f>'LM Kassa'!C13</x:f>
        <x:v>0</x:v>
      </x:c>
      <x:c r="N12" s="895"/>
      <x:c r="O12" s="896"/>
      <x:c r="P12" s="415"/>
      <x:c r="Q12" s="415"/>
      <x:c r="R12" s="415"/>
      <x:c r="S12" s="897" t="str">
        <x:f>_xlfn.XLOOKUP(W12,$AI$12:$AI$31,$Y$12:$Y$31,"")</x:f>
      </x:c>
      <x:c r="T12" s="897"/>
      <x:c r="U12" s="891" t="str">
        <x:f>_xlfn.XLOOKUP(W12,$AI$12:$AI$31,$AH$12:$AH$31,"")</x:f>
      </x:c>
      <x:c r="V12" s="891"/>
      <x:c r="W12" s="898">
        <x:v>1</x:v>
      </x:c>
      <x:c r="X12" s="899"/>
      <x:c r="Y12" s="897" t="s">
        <x:v>17</x:v>
      </x:c>
      <x:c r="Z12" s="900" t="s">
        <x:v>157</x:v>
      </x:c>
      <x:c r="AA12" s="899" t="n">
        <x:f>_xlfn.LET(_xlpm.r, MATCH($I12, Pivot!$A$11:$A$35, 0),_xlpm.c, MATCH($C$7, Pivot!$B$2:$EU$2, 0),IFERROR(INDEX(Pivot!$B$11:$EU$35, _xlpm.r, _xlpm.c), 0))</x:f>
        <x:v>14000</x:v>
      </x:c>
      <x:c r="AB12" s="624" t="str">
        <x:f>_xlfn.LET(_xlpm.r, MATCH($I12, Pivot!$A$11:$A$35, 0),_xlpm.c, MATCH($C$6, Pivot!$B$2:$EU$2, 0),IFERROR(INDEX(Pivot!$B$11:$EU$35, _xlpm.r, _xlpm.c), 0))</x:f>
      </x:c>
      <x:c r="AC12" s="899" t="n">
        <x:f>AA12+AB12</x:f>
        <x:v>14000</x:v>
      </x:c>
      <x:c r="AD12" s="624" t="n">
        <x:f>IF(AC12&gt;0,1,0)</x:f>
        <x:v>1</x:v>
      </x:c>
      <x:c r="AE12" s="624"/>
      <x:c r="AF12" s="899" t="str">
        <x:f>_xlfn.LET(_xlpm.r, MATCH($I12, Pivot!$A$11:$A$35, 0),_xlpm.c, MATCH($S$7, Pivot!$B$2:$EU$2, 0),IFERROR(INDEX(Pivot!$B$11:$EU$35, _xlpm.r, _xlpm.c), 0))</x:f>
      </x:c>
      <x:c r="AG12" s="899" t="e">
        <x:f>_xlfn.LET(_xlpm.r, MATCH($I12, Pivot!$A$11:$A$35, 0),_xlpm.c, MATCH($S$6, Pivot!$B$2:$EU$2, 0),IFERROR(INDEX(Pivot!$B$11:$EU$35, _xlpm.r, _xlpm.c), 0))</x:f>
        <x:v>#N/A</x:v>
      </x:c>
      <x:c r="AH12" s="899" t="e">
        <x:f>AF12+AG12</x:f>
        <x:v>#N/A</x:v>
      </x:c>
      <x:c r="AI12" s="901" t="e">
        <x:f>IF(AH12&gt;0,1,0)</x:f>
        <x:v>#N/A</x:v>
      </x:c>
      <x:c r="AJ12" s="415"/>
      <x:c r="AK12" s="415"/>
      <x:c r="AL12" s="415"/>
      <x:c r="AM12" s="415"/>
      <x:c r="AN12" s="415"/>
      <x:c r="AO12" s="415"/>
      <x:c r="AP12" s="415"/>
      <x:c r="AQ12" s="415"/>
      <x:c r="AR12" s="415"/>
      <x:c r="AS12" s="415"/>
      <x:c r="AT12" s="415"/>
      <x:c r="AU12" s="415"/>
      <x:c r="AV12" s="415"/>
      <x:c r="AW12" s="415"/>
      <x:c r="AX12" s="415"/>
      <x:c r="AY12" s="415"/>
      <x:c r="AZ12" s="415"/>
      <x:c r="BA12" s="415"/>
      <x:c r="BB12" s="415"/>
      <x:c r="BC12" s="415"/>
      <x:c r="BD12" s="415"/>
      <x:c r="BE12" s="415"/>
      <x:c r="BF12" s="415"/>
      <x:c r="BG12" s="415"/>
      <x:c r="BH12" s="415"/>
      <x:c r="BI12" s="415"/>
      <x:c r="BJ12" s="415"/>
      <x:c r="BK12" s="415"/>
      <x:c r="BL12" s="415"/>
      <x:c r="BM12" s="415"/>
      <x:c r="BN12" s="415"/>
      <x:c r="BO12" s="415"/>
      <x:c r="BP12" s="415"/>
      <x:c r="BQ12" s="415"/>
      <x:c r="BR12" s="415"/>
      <x:c r="BS12" s="415"/>
      <x:c r="BT12" s="415"/>
      <x:c r="BU12" s="415"/>
      <x:c r="BV12" s="415"/>
      <x:c r="BW12" s="415"/>
      <x:c r="BX12" s="415"/>
      <x:c r="BY12" s="415"/>
      <x:c r="BZ12" s="415"/>
      <x:c r="CA12" s="415"/>
      <x:c r="CB12" s="415"/>
      <x:c r="CC12" s="415"/>
      <x:c r="CD12" s="415"/>
      <x:c r="CE12" s="415"/>
      <x:c r="CF12" s="415"/>
      <x:c r="CG12" s="415"/>
      <x:c r="CH12" s="415"/>
      <x:c r="CI12" s="415"/>
      <x:c r="CJ12" s="415"/>
      <x:c r="CK12" s="415"/>
      <x:c r="CL12" s="415"/>
      <x:c r="CM12" s="415"/>
    </x:row>
    <x:row r="13" s="97" customFormat="1" ht="22" customHeight="1">
      <x:c r="A13" s="480"/>
      <x:c r="B13" s="383" t="str">
        <x:f t="shared" ref="B13:B31" si="1">_xlfn.XLOOKUP(E13,$AD$12:$AD$31,$Y$12:$Y$31,"")</x:f>
        <x:v>Farg'ona</x:v>
      </x:c>
      <x:c r="C13" s="802">
        <x:f t="shared" si="0"/>
        <x:v>91800</x:v>
      </x:c>
      <x:c r="D13" s="802"/>
      <x:c r="E13" s="383">
        <x:v>2</x:v>
      </x:c>
      <x:c r="F13" s="803"/>
      <x:c r="G13" s="383"/>
      <x:c r="H13" s="804" t="s">
        <x:v>29</x:v>
      </x:c>
      <x:c r="I13" s="805" t="s">
        <x:v>164</x:v>
      </x:c>
      <x:c r="J13" s="806" t="n" cm="1">
        <x:f t="array" ref="J13">IFERROR(_xlfn.XLOOKUP($I$7,Pivot!$B$2:$EU$2,_xlfn.XLOOKUP($I13,Pivot!$A$11:$A$35,Pivot!$B$11:$EU$35),0,0),0)</x:f>
        <x:v>116001500</x:v>
      </x:c>
      <x:c r="K13" s="806"/>
      <x:c r="L13" s="806"/>
      <x:c r="M13" s="806" t="n">
        <x:f>'LM Kassa'!C16</x:f>
        <x:v>853600</x:v>
      </x:c>
      <x:c r="N13" s="806"/>
      <x:c r="O13" s="807"/>
      <x:c r="P13" s="383"/>
      <x:c r="Q13" s="383"/>
      <x:c r="R13" s="383"/>
      <x:c r="S13" s="808" t="str">
        <x:f t="shared" ref="S13:S31" si="2">_xlfn.XLOOKUP(W13,$AI$12:$AI$31,$Y$12:$Y$31,"")</x:f>
      </x:c>
      <x:c r="T13" s="808"/>
      <x:c r="U13" s="802" t="str">
        <x:f t="shared" ref="U13:U31" si="3">_xlfn.XLOOKUP(W13,$AI$12:$AI$31,$AH$12:$AH$31,"")</x:f>
      </x:c>
      <x:c r="V13" s="802"/>
      <x:c r="W13" s="386">
        <x:v>2</x:v>
      </x:c>
      <x:c r="X13" s="786"/>
      <x:c r="Y13" s="808" t="s">
        <x:v>29</x:v>
      </x:c>
      <x:c r="Z13" s="809" t="s">
        <x:v>164</x:v>
      </x:c>
      <x:c r="AA13" s="790" t="str">
        <x:f>_xlfn.LET(_xlpm.r, MATCH($I13, Pivot!$A$11:$A$35, 0),_xlpm.c, MATCH($C$7, Pivot!$B$2:$EU$2, 0),IFERROR(INDEX(Pivot!$B$11:$EU$35, _xlpm.r, _xlpm.c), 0))</x:f>
      </x:c>
      <x:c r="AB13" s="574" t="str">
        <x:f>_xlfn.LET(_xlpm.r, MATCH($I13, Pivot!$A$11:$A$35, 0),_xlpm.c, MATCH($C$6, Pivot!$B$2:$EU$2, 0),IFERROR(INDEX(Pivot!$B$11:$EU$35, _xlpm.r, _xlpm.c), 0))</x:f>
      </x:c>
      <x:c r="AC13" s="574" t="n">
        <x:f t="shared" ref="AC13:AC31" si="4">AA13+AB13</x:f>
        <x:v>0</x:v>
      </x:c>
      <x:c r="AD13" s="574" t="n">
        <x:f>IF(AC13&gt;0,MAX($AD$12:AD12)+1,0)</x:f>
        <x:v>0</x:v>
      </x:c>
      <x:c r="AE13" s="574"/>
      <x:c r="AF13" s="790" t="str">
        <x:f>_xlfn.LET(_xlpm.r, MATCH($I13, Pivot!$A$11:$A$35, 0),_xlpm.c, MATCH($S$7, Pivot!$B$2:$EU$2, 0),IFERROR(INDEX(Pivot!$B$11:$EU$35, _xlpm.r, _xlpm.c), 0))</x:f>
      </x:c>
      <x:c r="AG13" s="790" t="e">
        <x:f>_xlfn.LET(_xlpm.r, MATCH($I13, Pivot!$A$11:$A$35, 0),_xlpm.c, MATCH($S$6, Pivot!$B$2:$EU$2, 0),IFERROR(INDEX(Pivot!$B$11:$EU$35, _xlpm.r, _xlpm.c), 0))</x:f>
        <x:v>#N/A</x:v>
      </x:c>
      <x:c r="AH13" s="790" t="e">
        <x:f t="shared" ref="AH13:AH31" si="5">AF13+AG13</x:f>
        <x:v>#N/A</x:v>
      </x:c>
      <x:c r="AI13" s="810" t="e">
        <x:f>IF(AH13&gt;0,MAX($AI$12:AI12)+1,0)</x:f>
        <x:v>#N/A</x:v>
      </x:c>
      <x:c r="AJ13" s="383"/>
      <x:c r="AK13" s="383"/>
      <x:c r="AL13" s="383"/>
      <x:c r="AM13" s="383"/>
      <x:c r="AN13" s="383"/>
      <x:c r="AO13" s="383"/>
      <x:c r="AP13" s="383"/>
      <x:c r="AQ13" s="383"/>
      <x:c r="AR13" s="383"/>
      <x:c r="AS13" s="383"/>
      <x:c r="AT13" s="383"/>
      <x:c r="AU13" s="383"/>
      <x:c r="AV13" s="383"/>
      <x:c r="AW13" s="383"/>
      <x:c r="AX13" s="383"/>
      <x:c r="AY13" s="383"/>
      <x:c r="AZ13" s="383"/>
      <x:c r="BA13" s="383"/>
      <x:c r="BB13" s="383"/>
      <x:c r="BC13" s="383"/>
      <x:c r="BD13" s="383"/>
      <x:c r="BE13" s="383"/>
      <x:c r="BF13" s="383"/>
      <x:c r="BG13" s="383"/>
      <x:c r="BH13" s="383"/>
      <x:c r="BI13" s="383"/>
      <x:c r="BJ13" s="383"/>
      <x:c r="BK13" s="383"/>
      <x:c r="BL13" s="383"/>
      <x:c r="BM13" s="383"/>
      <x:c r="BN13" s="383"/>
      <x:c r="BO13" s="383"/>
      <x:c r="BP13" s="383"/>
      <x:c r="BQ13" s="383"/>
      <x:c r="BR13" s="383"/>
      <x:c r="BS13" s="383"/>
      <x:c r="BT13" s="383"/>
      <x:c r="BU13" s="383"/>
      <x:c r="BV13" s="383"/>
      <x:c r="BW13" s="383"/>
      <x:c r="BX13" s="383"/>
      <x:c r="BY13" s="383"/>
      <x:c r="BZ13" s="383"/>
      <x:c r="CA13" s="383"/>
      <x:c r="CB13" s="383"/>
      <x:c r="CC13" s="383"/>
      <x:c r="CD13" s="383"/>
      <x:c r="CE13" s="383"/>
      <x:c r="CF13" s="383"/>
      <x:c r="CG13" s="383"/>
      <x:c r="CH13" s="383"/>
      <x:c r="CI13" s="383"/>
      <x:c r="CJ13" s="383"/>
      <x:c r="CK13" s="383"/>
      <x:c r="CL13" s="383"/>
      <x:c r="CM13" s="383"/>
    </x:row>
    <x:row r="14" s="97" customFormat="1" ht="22" customHeight="1">
      <x:c r="A14" s="479"/>
      <x:c r="B14" s="415" t="str">
        <x:f t="shared" si="1"/>
        <x:v>Qoqon </x:v>
      </x:c>
      <x:c r="C14" s="891">
        <x:f t="shared" si="0"/>
        <x:v>235000</x:v>
      </x:c>
      <x:c r="D14" s="891"/>
      <x:c r="E14" s="415">
        <x:v>3</x:v>
      </x:c>
      <x:c r="F14" s="892"/>
      <x:c r="G14" s="415"/>
      <x:c r="H14" s="893" t="s">
        <x:v>189</x:v>
      </x:c>
      <x:c r="I14" s="894" t="s">
        <x:v>160</x:v>
      </x:c>
      <x:c r="J14" s="895" t="n" cm="1">
        <x:f t="array" ref="J14">IFERROR(_xlfn.XLOOKUP($I$7,Pivot!$B$2:$EU$2,_xlfn.XLOOKUP($I14,Pivot!$A$11:$A$35,Pivot!$B$11:$EU$35),0,0),0)</x:f>
        <x:v>262460000</x:v>
      </x:c>
      <x:c r="K14" s="895"/>
      <x:c r="L14" s="895"/>
      <x:c r="M14" s="895" t="n">
        <x:f>'LM Kassa'!C22</x:f>
        <x:v>539800</x:v>
      </x:c>
      <x:c r="N14" s="895"/>
      <x:c r="O14" s="896"/>
      <x:c r="P14" s="415"/>
      <x:c r="Q14" s="415"/>
      <x:c r="R14" s="415"/>
      <x:c r="S14" s="897" t="str">
        <x:f t="shared" si="2"/>
      </x:c>
      <x:c r="T14" s="897"/>
      <x:c r="U14" s="891" t="str">
        <x:f t="shared" si="3"/>
      </x:c>
      <x:c r="V14" s="891"/>
      <x:c r="W14" s="898">
        <x:v>3</x:v>
      </x:c>
      <x:c r="X14" s="899"/>
      <x:c r="Y14" s="897" t="s">
        <x:v>189</x:v>
      </x:c>
      <x:c r="Z14" s="900" t="s">
        <x:v>160</x:v>
      </x:c>
      <x:c r="AA14" s="899" t="str">
        <x:f>_xlfn.LET(_xlpm.r, MATCH($I14, Pivot!$A$11:$A$35, 0),_xlpm.c, MATCH($C$7, Pivot!$B$2:$EU$2, 0),IFERROR(INDEX(Pivot!$B$11:$EU$35, _xlpm.r, _xlpm.c), 0))</x:f>
      </x:c>
      <x:c r="AB14" s="624" t="n">
        <x:f>_xlfn.LET(_xlpm.r, MATCH($I14, Pivot!$A$11:$A$35, 0),_xlpm.c, MATCH($C$6, Pivot!$B$2:$EU$2, 0),IFERROR(INDEX(Pivot!$B$11:$EU$35, _xlpm.r, _xlpm.c), 0))</x:f>
        <x:v>91800</x:v>
      </x:c>
      <x:c r="AC14" s="624">
        <x:f t="shared" si="4"/>
        <x:v>91800</x:v>
      </x:c>
      <x:c r="AD14" s="624" t="n">
        <x:f>IF(AC14&gt;0,MAX($AD$12:AD13)+1,0)</x:f>
        <x:v>2</x:v>
      </x:c>
      <x:c r="AE14" s="624"/>
      <x:c r="AF14" s="899" t="str">
        <x:f>_xlfn.LET(_xlpm.r, MATCH($I14, Pivot!$A$11:$A$35, 0),_xlpm.c, MATCH($S$7, Pivot!$B$2:$EU$2, 0),IFERROR(INDEX(Pivot!$B$11:$EU$35, _xlpm.r, _xlpm.c), 0))</x:f>
      </x:c>
      <x:c r="AG14" s="899" t="e">
        <x:f>_xlfn.LET(_xlpm.r, MATCH($I14, Pivot!$A$11:$A$35, 0),_xlpm.c, MATCH($S$6, Pivot!$B$2:$EU$2, 0),IFERROR(INDEX(Pivot!$B$11:$EU$35, _xlpm.r, _xlpm.c), 0))</x:f>
        <x:v>#N/A</x:v>
      </x:c>
      <x:c r="AH14" s="899">
        <x:f t="shared" si="5"/>
        <x:v>0</x:v>
      </x:c>
      <x:c r="AI14" s="901" t="n">
        <x:f>IF(AH14&gt;0,MAX($AI$12:AI13)+1,0)</x:f>
        <x:v>0</x:v>
      </x:c>
      <x:c r="AJ14" s="415"/>
      <x:c r="AK14" s="415"/>
      <x:c r="AL14" s="415"/>
      <x:c r="AM14" s="415"/>
      <x:c r="AN14" s="415"/>
      <x:c r="AO14" s="415"/>
      <x:c r="AP14" s="415"/>
      <x:c r="AQ14" s="415"/>
      <x:c r="AR14" s="415"/>
      <x:c r="AS14" s="415"/>
      <x:c r="AT14" s="415"/>
      <x:c r="AU14" s="415"/>
      <x:c r="AV14" s="415"/>
      <x:c r="AW14" s="415"/>
      <x:c r="AX14" s="415"/>
      <x:c r="AY14" s="415"/>
      <x:c r="AZ14" s="415"/>
      <x:c r="BA14" s="415"/>
      <x:c r="BB14" s="415"/>
      <x:c r="BC14" s="415"/>
      <x:c r="BD14" s="415"/>
      <x:c r="BE14" s="415"/>
      <x:c r="BF14" s="415"/>
      <x:c r="BG14" s="415"/>
      <x:c r="BH14" s="415"/>
      <x:c r="BI14" s="415"/>
      <x:c r="BJ14" s="415"/>
      <x:c r="BK14" s="415"/>
      <x:c r="BL14" s="415"/>
      <x:c r="BM14" s="415"/>
      <x:c r="BN14" s="415"/>
      <x:c r="BO14" s="415"/>
      <x:c r="BP14" s="415"/>
      <x:c r="BQ14" s="415"/>
      <x:c r="BR14" s="415"/>
      <x:c r="BS14" s="415"/>
      <x:c r="BT14" s="415"/>
      <x:c r="BU14" s="415"/>
      <x:c r="BV14" s="415"/>
      <x:c r="BW14" s="415"/>
      <x:c r="BX14" s="415"/>
      <x:c r="BY14" s="415"/>
      <x:c r="BZ14" s="415"/>
      <x:c r="CA14" s="415"/>
      <x:c r="CB14" s="415"/>
      <x:c r="CC14" s="415"/>
      <x:c r="CD14" s="415"/>
      <x:c r="CE14" s="415"/>
      <x:c r="CF14" s="415"/>
      <x:c r="CG14" s="415"/>
      <x:c r="CH14" s="415"/>
      <x:c r="CI14" s="415"/>
      <x:c r="CJ14" s="415"/>
      <x:c r="CK14" s="415"/>
      <x:c r="CL14" s="415"/>
      <x:c r="CM14" s="415"/>
    </x:row>
    <x:row r="15" s="97" customFormat="1" ht="22" customHeight="1">
      <x:c r="A15" s="480"/>
      <x:c r="B15" s="383" t="str">
        <x:f t="shared" si="1"/>
        <x:v>Yunusobod</x:v>
      </x:c>
      <x:c r="C15" s="802">
        <x:f t="shared" si="0"/>
        <x:v>379000</x:v>
      </x:c>
      <x:c r="D15" s="802"/>
      <x:c r="E15" s="383">
        <x:v>4</x:v>
      </x:c>
      <x:c r="F15" s="803"/>
      <x:c r="G15" s="383"/>
      <x:c r="H15" s="804" t="s">
        <x:v>191</x:v>
      </x:c>
      <x:c r="I15" s="805" t="s">
        <x:v>169</x:v>
      </x:c>
      <x:c r="J15" s="806" t="n" cm="1">
        <x:f t="array" ref="J15">IFERROR(_xlfn.XLOOKUP($I$7,Pivot!$B$2:$EU$2,_xlfn.XLOOKUP($I15,Pivot!$A$11:$A$35,Pivot!$B$11:$EU$35),0,0),0)</x:f>
        <x:v>213433500</x:v>
      </x:c>
      <x:c r="K15" s="806"/>
      <x:c r="L15" s="806"/>
      <x:c r="M15" s="806" t="n">
        <x:f>'LM Kassa'!C10</x:f>
        <x:v>4314400</x:v>
      </x:c>
      <x:c r="N15" s="806"/>
      <x:c r="O15" s="807"/>
      <x:c r="P15" s="383"/>
      <x:c r="Q15" s="383"/>
      <x:c r="R15" s="383"/>
      <x:c r="S15" s="808" t="str">
        <x:f t="shared" si="2"/>
      </x:c>
      <x:c r="T15" s="808"/>
      <x:c r="U15" s="802" t="str">
        <x:f t="shared" si="3"/>
      </x:c>
      <x:c r="V15" s="802"/>
      <x:c r="W15" s="386">
        <x:v>4</x:v>
      </x:c>
      <x:c r="X15" s="786"/>
      <x:c r="Y15" s="808" t="s">
        <x:v>191</x:v>
      </x:c>
      <x:c r="Z15" s="809" t="s">
        <x:v>169</x:v>
      </x:c>
      <x:c r="AA15" s="790" t="str">
        <x:f>_xlfn.LET(_xlpm.r, MATCH($I15, Pivot!$A$11:$A$35, 0),_xlpm.c, MATCH($C$7, Pivot!$B$2:$EU$2, 0),IFERROR(INDEX(Pivot!$B$11:$EU$35, _xlpm.r, _xlpm.c), 0))</x:f>
      </x:c>
      <x:c r="AB15" s="574" t="n">
        <x:f>_xlfn.LET(_xlpm.r, MATCH($I15, Pivot!$A$11:$A$35, 0),_xlpm.c, MATCH($C$6, Pivot!$B$2:$EU$2, 0),IFERROR(INDEX(Pivot!$B$11:$EU$35, _xlpm.r, _xlpm.c), 0))</x:f>
        <x:v>235000</x:v>
      </x:c>
      <x:c r="AC15" s="574">
        <x:f t="shared" si="4"/>
        <x:v>235000</x:v>
      </x:c>
      <x:c r="AD15" s="574" t="n">
        <x:f>IF(AC15&gt;0,MAX($AD$12:AD14)+1,0)</x:f>
        <x:v>3</x:v>
      </x:c>
      <x:c r="AE15" s="574"/>
      <x:c r="AF15" s="790" t="str">
        <x:f>_xlfn.LET(_xlpm.r, MATCH($I15, Pivot!$A$11:$A$35, 0),_xlpm.c, MATCH($S$7, Pivot!$B$2:$EU$2, 0),IFERROR(INDEX(Pivot!$B$11:$EU$35, _xlpm.r, _xlpm.c), 0))</x:f>
      </x:c>
      <x:c r="AG15" s="790" t="e">
        <x:f>_xlfn.LET(_xlpm.r, MATCH($I15, Pivot!$A$11:$A$35, 0),_xlpm.c, MATCH($S$6, Pivot!$B$2:$EU$2, 0),IFERROR(INDEX(Pivot!$B$11:$EU$35, _xlpm.r, _xlpm.c), 0))</x:f>
        <x:v>#N/A</x:v>
      </x:c>
      <x:c r="AH15" s="790">
        <x:f t="shared" si="5"/>
        <x:v>0</x:v>
      </x:c>
      <x:c r="AI15" s="810" t="n">
        <x:f>IF(AH15&gt;0,MAX($AI$12:AI14)+1,0)</x:f>
        <x:v>0</x:v>
      </x:c>
      <x:c r="AJ15" s="383"/>
      <x:c r="AK15" s="383"/>
      <x:c r="AL15" s="383"/>
      <x:c r="AM15" s="383"/>
      <x:c r="AN15" s="383"/>
      <x:c r="AO15" s="383"/>
      <x:c r="AP15" s="383"/>
      <x:c r="AQ15" s="383"/>
      <x:c r="AR15" s="383"/>
      <x:c r="AS15" s="383"/>
      <x:c r="AT15" s="383"/>
      <x:c r="AU15" s="383"/>
      <x:c r="AV15" s="383"/>
      <x:c r="AW15" s="383"/>
      <x:c r="AX15" s="383"/>
      <x:c r="AY15" s="383"/>
      <x:c r="AZ15" s="383"/>
      <x:c r="BA15" s="383"/>
      <x:c r="BB15" s="383"/>
      <x:c r="BC15" s="383"/>
      <x:c r="BD15" s="383"/>
      <x:c r="BE15" s="383"/>
      <x:c r="BF15" s="383"/>
      <x:c r="BG15" s="383"/>
      <x:c r="BH15" s="383"/>
      <x:c r="BI15" s="383"/>
      <x:c r="BJ15" s="383"/>
      <x:c r="BK15" s="383"/>
      <x:c r="BL15" s="383"/>
      <x:c r="BM15" s="383"/>
      <x:c r="BN15" s="383"/>
      <x:c r="BO15" s="383"/>
      <x:c r="BP15" s="383"/>
      <x:c r="BQ15" s="383"/>
      <x:c r="BR15" s="383"/>
      <x:c r="BS15" s="383"/>
      <x:c r="BT15" s="383"/>
      <x:c r="BU15" s="383"/>
      <x:c r="BV15" s="383"/>
      <x:c r="BW15" s="383"/>
      <x:c r="BX15" s="383"/>
      <x:c r="BY15" s="383"/>
      <x:c r="BZ15" s="383"/>
      <x:c r="CA15" s="383"/>
      <x:c r="CB15" s="383"/>
      <x:c r="CC15" s="383"/>
      <x:c r="CD15" s="383"/>
      <x:c r="CE15" s="383"/>
      <x:c r="CF15" s="383"/>
      <x:c r="CG15" s="383"/>
      <x:c r="CH15" s="383"/>
      <x:c r="CI15" s="383"/>
      <x:c r="CJ15" s="383"/>
      <x:c r="CK15" s="383"/>
      <x:c r="CL15" s="383"/>
      <x:c r="CM15" s="383"/>
    </x:row>
    <x:row r="16" ht="22" customHeight="1">
      <x:c r="A16" s="479"/>
      <x:c r="B16" s="415" t="str">
        <x:f t="shared" si="1"/>
        <x:v>Sergeli</x:v>
      </x:c>
      <x:c r="C16" s="891">
        <x:f t="shared" si="0"/>
        <x:v>270000</x:v>
      </x:c>
      <x:c r="D16" s="891"/>
      <x:c r="E16" s="415">
        <x:v>5</x:v>
      </x:c>
      <x:c r="F16" s="892"/>
      <x:c r="G16" s="415"/>
      <x:c r="H16" s="893" t="s">
        <x:v>51</x:v>
      </x:c>
      <x:c r="I16" s="894" t="s">
        <x:v>175</x:v>
      </x:c>
      <x:c r="J16" s="895" t="n" cm="1">
        <x:f t="array" ref="J16">IFERROR(_xlfn.XLOOKUP($I$7,Pivot!$B$2:$EU$2,_xlfn.XLOOKUP($I16,Pivot!$A$11:$A$35,Pivot!$B$11:$EU$35),0,0),0)</x:f>
        <x:v>83367600</x:v>
      </x:c>
      <x:c r="K16" s="895"/>
      <x:c r="L16" s="895"/>
      <x:c r="M16" s="895" t="n">
        <x:f>'LM Kassa'!C9</x:f>
        <x:v>9924500</x:v>
      </x:c>
      <x:c r="N16" s="895"/>
      <x:c r="O16" s="896"/>
      <x:c r="P16" s="415"/>
      <x:c r="Q16" s="415"/>
      <x:c r="R16" s="415"/>
      <x:c r="S16" s="897" t="str">
        <x:f t="shared" si="2"/>
      </x:c>
      <x:c r="T16" s="897"/>
      <x:c r="U16" s="891" t="str">
        <x:f t="shared" si="3"/>
      </x:c>
      <x:c r="V16" s="891"/>
      <x:c r="W16" s="899">
        <x:v>5</x:v>
      </x:c>
      <x:c r="X16" s="899"/>
      <x:c r="Y16" s="897" t="s">
        <x:v>51</x:v>
      </x:c>
      <x:c r="Z16" s="900" t="s">
        <x:v>175</x:v>
      </x:c>
      <x:c r="AA16" s="899" t="n">
        <x:f>_xlfn.LET(_xlpm.r, MATCH($I16, Pivot!$A$11:$A$35, 0),_xlpm.c, MATCH($C$7, Pivot!$B$2:$EU$2, 0),IFERROR(INDEX(Pivot!$B$11:$EU$35, _xlpm.r, _xlpm.c), 0))</x:f>
        <x:v>119000</x:v>
      </x:c>
      <x:c r="AB16" s="624" t="n">
        <x:f>_xlfn.LET(_xlpm.r, MATCH($I16, Pivot!$A$11:$A$35, 0),_xlpm.c, MATCH($C$6, Pivot!$B$2:$EU$2, 0),IFERROR(INDEX(Pivot!$B$11:$EU$35, _xlpm.r, _xlpm.c), 0))</x:f>
        <x:v>260000</x:v>
      </x:c>
      <x:c r="AC16" s="624">
        <x:f t="shared" si="4"/>
        <x:v>379000</x:v>
      </x:c>
      <x:c r="AD16" s="624" t="n">
        <x:f>IF(AC16&gt;0,MAX($AD$12:AD15)+1,0)</x:f>
        <x:v>4</x:v>
      </x:c>
      <x:c r="AE16" s="624"/>
      <x:c r="AF16" s="899" t="str">
        <x:f>_xlfn.LET(_xlpm.r, MATCH($I16, Pivot!$A$11:$A$35, 0),_xlpm.c, MATCH($S$7, Pivot!$B$2:$EU$2, 0),IFERROR(INDEX(Pivot!$B$11:$EU$35, _xlpm.r, _xlpm.c), 0))</x:f>
      </x:c>
      <x:c r="AG16" s="899" t="e">
        <x:f>_xlfn.LET(_xlpm.r, MATCH($I16, Pivot!$A$11:$A$35, 0),_xlpm.c, MATCH($S$6, Pivot!$B$2:$EU$2, 0),IFERROR(INDEX(Pivot!$B$11:$EU$35, _xlpm.r, _xlpm.c), 0))</x:f>
        <x:v>#N/A</x:v>
      </x:c>
      <x:c r="AH16" s="899">
        <x:f t="shared" si="5"/>
        <x:v>0</x:v>
      </x:c>
      <x:c r="AI16" s="901" t="n">
        <x:f>IF(AH16&gt;0,MAX($AI$12:AI15)+1,0)</x:f>
        <x:v>0</x:v>
      </x:c>
      <x:c r="AJ16" s="415"/>
      <x:c r="AK16" s="415"/>
      <x:c r="AL16" s="415"/>
      <x:c r="AM16" s="415"/>
      <x:c r="AN16" s="415"/>
      <x:c r="AO16" s="415"/>
      <x:c r="AP16" s="415"/>
      <x:c r="AQ16" s="415"/>
      <x:c r="AR16" s="415"/>
      <x:c r="AS16" s="415"/>
      <x:c r="AT16" s="415"/>
      <x:c r="AU16" s="415"/>
      <x:c r="AV16" s="415"/>
      <x:c r="AW16" s="415"/>
      <x:c r="AX16" s="415"/>
      <x:c r="AY16" s="415"/>
      <x:c r="AZ16" s="415"/>
      <x:c r="BA16" s="415"/>
      <x:c r="BB16" s="415"/>
      <x:c r="BC16" s="415"/>
      <x:c r="BD16" s="415"/>
      <x:c r="BE16" s="415"/>
      <x:c r="BF16" s="415"/>
      <x:c r="BG16" s="415"/>
      <x:c r="BH16" s="415"/>
      <x:c r="BI16" s="415"/>
      <x:c r="BJ16" s="415"/>
      <x:c r="BK16" s="415"/>
      <x:c r="BL16" s="415"/>
      <x:c r="BM16" s="415"/>
      <x:c r="BN16" s="415"/>
      <x:c r="BO16" s="415"/>
      <x:c r="BP16" s="415"/>
      <x:c r="BQ16" s="415"/>
      <x:c r="BR16" s="415"/>
      <x:c r="BS16" s="415"/>
      <x:c r="BT16" s="415"/>
      <x:c r="BU16" s="415"/>
      <x:c r="BV16" s="415"/>
      <x:c r="BW16" s="415"/>
      <x:c r="BX16" s="415"/>
      <x:c r="BY16" s="415"/>
      <x:c r="BZ16" s="415"/>
      <x:c r="CA16" s="415"/>
      <x:c r="CB16" s="415"/>
      <x:c r="CC16" s="415"/>
      <x:c r="CD16" s="415"/>
      <x:c r="CE16" s="415"/>
      <x:c r="CF16" s="415"/>
      <x:c r="CG16" s="415"/>
      <x:c r="CH16" s="415"/>
      <x:c r="CI16" s="415"/>
      <x:c r="CJ16" s="415"/>
      <x:c r="CK16" s="415"/>
      <x:c r="CL16" s="415"/>
      <x:c r="CM16" s="415"/>
    </x:row>
    <x:row r="17" ht="22" customHeight="1">
      <x:c r="A17" s="480"/>
      <x:c r="B17" s="383" t="str">
        <x:f t="shared" si="1"/>
        <x:v>Olmaliq</x:v>
      </x:c>
      <x:c r="C17" s="802">
        <x:f t="shared" si="0"/>
        <x:v>11200</x:v>
      </x:c>
      <x:c r="D17" s="802"/>
      <x:c r="E17" s="383">
        <x:v>6</x:v>
      </x:c>
      <x:c r="F17" s="803"/>
      <x:c r="G17" s="383"/>
      <x:c r="H17" s="804" t="s">
        <x:v>43</x:v>
      </x:c>
      <x:c r="I17" s="805" t="s">
        <x:v>171</x:v>
      </x:c>
      <x:c r="J17" s="806" t="n" cm="1">
        <x:f t="array" ref="J17">IFERROR(_xlfn.XLOOKUP($I$7,Pivot!$B$2:$EU$2,_xlfn.XLOOKUP($I17,Pivot!$A$11:$A$35,Pivot!$B$11:$EU$35),0,0),0)</x:f>
        <x:v>68812000</x:v>
      </x:c>
      <x:c r="K17" s="806"/>
      <x:c r="L17" s="806"/>
      <x:c r="M17" s="806" t="n">
        <x:f>'LM Kassa'!C15</x:f>
        <x:v>17606200</x:v>
      </x:c>
      <x:c r="N17" s="806"/>
      <x:c r="O17" s="807"/>
      <x:c r="P17" s="383"/>
      <x:c r="Q17" s="383"/>
      <x:c r="R17" s="383"/>
      <x:c r="S17" s="808" t="str">
        <x:f t="shared" si="2"/>
      </x:c>
      <x:c r="T17" s="808"/>
      <x:c r="U17" s="802" t="str">
        <x:f t="shared" si="3"/>
      </x:c>
      <x:c r="V17" s="802"/>
      <x:c r="W17" s="786">
        <x:v>6</x:v>
      </x:c>
      <x:c r="X17" s="786"/>
      <x:c r="Y17" s="808" t="s">
        <x:v>43</x:v>
      </x:c>
      <x:c r="Z17" s="809" t="s">
        <x:v>171</x:v>
      </x:c>
      <x:c r="AA17" s="790" t="str">
        <x:f>_xlfn.LET(_xlpm.r, MATCH($I17, Pivot!$A$11:$A$35, 0),_xlpm.c, MATCH($C$7, Pivot!$B$2:$EU$2, 0),IFERROR(INDEX(Pivot!$B$11:$EU$35, _xlpm.r, _xlpm.c), 0))</x:f>
      </x:c>
      <x:c r="AB17" s="574" t="n">
        <x:f>_xlfn.LET(_xlpm.r, MATCH($I17, Pivot!$A$11:$A$35, 0),_xlpm.c, MATCH($C$6, Pivot!$B$2:$EU$2, 0),IFERROR(INDEX(Pivot!$B$11:$EU$35, _xlpm.r, _xlpm.c), 0))</x:f>
        <x:v>270000</x:v>
      </x:c>
      <x:c r="AC17" s="574">
        <x:f t="shared" si="4"/>
        <x:v>270000</x:v>
      </x:c>
      <x:c r="AD17" s="574" t="n">
        <x:f>IF(AC17&gt;0,MAX($AD$12:AD16)+1,0)</x:f>
        <x:v>5</x:v>
      </x:c>
      <x:c r="AE17" s="574"/>
      <x:c r="AF17" s="790" t="str">
        <x:f>_xlfn.LET(_xlpm.r, MATCH($I17, Pivot!$A$11:$A$35, 0),_xlpm.c, MATCH($S$7, Pivot!$B$2:$EU$2, 0),IFERROR(INDEX(Pivot!$B$11:$EU$35, _xlpm.r, _xlpm.c), 0))</x:f>
      </x:c>
      <x:c r="AG17" s="790" t="e">
        <x:f>_xlfn.LET(_xlpm.r, MATCH($I17, Pivot!$A$11:$A$35, 0),_xlpm.c, MATCH($S$6, Pivot!$B$2:$EU$2, 0),IFERROR(INDEX(Pivot!$B$11:$EU$35, _xlpm.r, _xlpm.c), 0))</x:f>
        <x:v>#N/A</x:v>
      </x:c>
      <x:c r="AH17" s="790">
        <x:f t="shared" si="5"/>
        <x:v>0</x:v>
      </x:c>
      <x:c r="AI17" s="810" t="n">
        <x:f>IF(AH17&gt;0,MAX($AI$12:AI16)+1,0)</x:f>
        <x:v>0</x:v>
      </x:c>
      <x:c r="AJ17" s="383"/>
      <x:c r="AK17" s="383"/>
      <x:c r="AL17" s="383"/>
      <x:c r="AM17" s="383"/>
      <x:c r="AN17" s="383"/>
      <x:c r="AO17" s="383"/>
      <x:c r="AP17" s="383"/>
      <x:c r="AQ17" s="383"/>
      <x:c r="AR17" s="383"/>
      <x:c r="AS17" s="383"/>
      <x:c r="AT17" s="383"/>
      <x:c r="AU17" s="383"/>
      <x:c r="AV17" s="383"/>
      <x:c r="AW17" s="383"/>
      <x:c r="AX17" s="383"/>
      <x:c r="AY17" s="383"/>
      <x:c r="AZ17" s="383"/>
      <x:c r="BA17" s="383"/>
      <x:c r="BB17" s="383"/>
      <x:c r="BC17" s="383"/>
      <x:c r="BD17" s="383"/>
      <x:c r="BE17" s="383"/>
      <x:c r="BF17" s="383"/>
      <x:c r="BG17" s="383"/>
      <x:c r="BH17" s="383"/>
      <x:c r="BI17" s="383"/>
      <x:c r="BJ17" s="383"/>
      <x:c r="BK17" s="383"/>
      <x:c r="BL17" s="383"/>
      <x:c r="BM17" s="383"/>
      <x:c r="BN17" s="383"/>
      <x:c r="BO17" s="383"/>
      <x:c r="BP17" s="383"/>
      <x:c r="BQ17" s="383"/>
      <x:c r="BR17" s="383"/>
      <x:c r="BS17" s="383"/>
      <x:c r="BT17" s="383"/>
      <x:c r="BU17" s="383"/>
      <x:c r="BV17" s="383"/>
      <x:c r="BW17" s="383"/>
      <x:c r="BX17" s="383"/>
      <x:c r="BY17" s="383"/>
      <x:c r="BZ17" s="383"/>
      <x:c r="CA17" s="383"/>
      <x:c r="CB17" s="383"/>
      <x:c r="CC17" s="383"/>
      <x:c r="CD17" s="383"/>
      <x:c r="CE17" s="383"/>
      <x:c r="CF17" s="383"/>
      <x:c r="CG17" s="383"/>
      <x:c r="CH17" s="383"/>
      <x:c r="CI17" s="383"/>
      <x:c r="CJ17" s="383"/>
      <x:c r="CK17" s="383"/>
      <x:c r="CL17" s="383"/>
      <x:c r="CM17" s="383"/>
    </x:row>
    <x:row r="18" ht="22" customHeight="1">
      <x:c r="A18" s="479"/>
      <x:c r="B18" s="415" t="str">
        <x:f t="shared" si="1"/>
        <x:v>Guliston</x:v>
      </x:c>
      <x:c r="C18" s="891">
        <x:f t="shared" si="0"/>
        <x:v>191000</x:v>
      </x:c>
      <x:c r="D18" s="891"/>
      <x:c r="E18" s="415">
        <x:v>7</x:v>
      </x:c>
      <x:c r="F18" s="892"/>
      <x:c r="G18" s="415"/>
      <x:c r="H18" s="893" t="s">
        <x:v>35</x:v>
      </x:c>
      <x:c r="I18" s="894" t="s">
        <x:v>167</x:v>
      </x:c>
      <x:c r="J18" s="895" t="n" cm="1">
        <x:f t="array" ref="J18">IFERROR(_xlfn.XLOOKUP($I$7,Pivot!$B$2:$EU$2,_xlfn.XLOOKUP($I18,Pivot!$A$11:$A$35,Pivot!$B$11:$EU$35),0,0),0)</x:f>
        <x:v>61495900</x:v>
      </x:c>
      <x:c r="K18" s="895"/>
      <x:c r="L18" s="895"/>
      <x:c r="M18" s="895" t="n">
        <x:f>'LM Kassa'!C12</x:f>
        <x:v>848000</x:v>
      </x:c>
      <x:c r="N18" s="895"/>
      <x:c r="O18" s="896"/>
      <x:c r="P18" s="415"/>
      <x:c r="Q18" s="415"/>
      <x:c r="R18" s="415"/>
      <x:c r="S18" s="897" t="str">
        <x:f t="shared" si="2"/>
      </x:c>
      <x:c r="T18" s="897"/>
      <x:c r="U18" s="891" t="str">
        <x:f t="shared" si="3"/>
      </x:c>
      <x:c r="V18" s="891"/>
      <x:c r="W18" s="899">
        <x:v>7</x:v>
      </x:c>
      <x:c r="X18" s="899"/>
      <x:c r="Y18" s="897" t="s">
        <x:v>35</x:v>
      </x:c>
      <x:c r="Z18" s="900" t="s">
        <x:v>167</x:v>
      </x:c>
      <x:c r="AA18" s="899" t="n">
        <x:f>_xlfn.LET(_xlpm.r, MATCH($I18, Pivot!$A$11:$A$35, 0),_xlpm.c, MATCH($C$7, Pivot!$B$2:$EU$2, 0),IFERROR(INDEX(Pivot!$B$11:$EU$35, _xlpm.r, _xlpm.c), 0))</x:f>
        <x:v>11200</x:v>
      </x:c>
      <x:c r="AB18" s="624" t="str">
        <x:f>_xlfn.LET(_xlpm.r, MATCH($I18, Pivot!$A$11:$A$35, 0),_xlpm.c, MATCH($C$6, Pivot!$B$2:$EU$2, 0),IFERROR(INDEX(Pivot!$B$11:$EU$35, _xlpm.r, _xlpm.c), 0))</x:f>
      </x:c>
      <x:c r="AC18" s="624">
        <x:f t="shared" si="4"/>
        <x:v>11200</x:v>
      </x:c>
      <x:c r="AD18" s="624" t="n">
        <x:f>IF(AC18&gt;0,MAX($AD$12:AD17)+1,0)</x:f>
        <x:v>6</x:v>
      </x:c>
      <x:c r="AE18" s="624"/>
      <x:c r="AF18" s="899" t="str">
        <x:f>_xlfn.LET(_xlpm.r, MATCH($I18, Pivot!$A$11:$A$35, 0),_xlpm.c, MATCH($S$7, Pivot!$B$2:$EU$2, 0),IFERROR(INDEX(Pivot!$B$11:$EU$35, _xlpm.r, _xlpm.c), 0))</x:f>
      </x:c>
      <x:c r="AG18" s="899" t="e">
        <x:f>_xlfn.LET(_xlpm.r, MATCH($I18, Pivot!$A$11:$A$35, 0),_xlpm.c, MATCH($S$6, Pivot!$B$2:$EU$2, 0),IFERROR(INDEX(Pivot!$B$11:$EU$35, _xlpm.r, _xlpm.c), 0))</x:f>
        <x:v>#N/A</x:v>
      </x:c>
      <x:c r="AH18" s="899">
        <x:f t="shared" si="5"/>
        <x:v>0</x:v>
      </x:c>
      <x:c r="AI18" s="901" t="n">
        <x:f>IF(AH18&gt;0,MAX($AI$12:AI17)+1,0)</x:f>
        <x:v>0</x:v>
      </x:c>
      <x:c r="AJ18" s="415"/>
      <x:c r="AK18" s="415"/>
      <x:c r="AL18" s="415"/>
      <x:c r="AM18" s="415"/>
      <x:c r="AN18" s="415"/>
      <x:c r="AO18" s="415"/>
      <x:c r="AP18" s="415"/>
      <x:c r="AQ18" s="415"/>
      <x:c r="AR18" s="415"/>
      <x:c r="AS18" s="415"/>
      <x:c r="AT18" s="415"/>
      <x:c r="AU18" s="415"/>
      <x:c r="AV18" s="415"/>
      <x:c r="AW18" s="415"/>
      <x:c r="AX18" s="415"/>
      <x:c r="AY18" s="415"/>
      <x:c r="AZ18" s="415"/>
      <x:c r="BA18" s="415"/>
      <x:c r="BB18" s="415"/>
      <x:c r="BC18" s="415"/>
      <x:c r="BD18" s="415"/>
      <x:c r="BE18" s="415"/>
      <x:c r="BF18" s="415"/>
      <x:c r="BG18" s="415"/>
      <x:c r="BH18" s="415"/>
      <x:c r="BI18" s="415"/>
      <x:c r="BJ18" s="415"/>
      <x:c r="BK18" s="415"/>
      <x:c r="BL18" s="415"/>
      <x:c r="BM18" s="415"/>
      <x:c r="BN18" s="415"/>
      <x:c r="BO18" s="415"/>
      <x:c r="BP18" s="415"/>
      <x:c r="BQ18" s="415"/>
      <x:c r="BR18" s="415"/>
      <x:c r="BS18" s="415"/>
      <x:c r="BT18" s="415"/>
      <x:c r="BU18" s="415"/>
      <x:c r="BV18" s="415"/>
      <x:c r="BW18" s="415"/>
      <x:c r="BX18" s="415"/>
      <x:c r="BY18" s="415"/>
      <x:c r="BZ18" s="415"/>
      <x:c r="CA18" s="415"/>
      <x:c r="CB18" s="415"/>
      <x:c r="CC18" s="415"/>
      <x:c r="CD18" s="415"/>
      <x:c r="CE18" s="415"/>
      <x:c r="CF18" s="415"/>
      <x:c r="CG18" s="415"/>
      <x:c r="CH18" s="415"/>
      <x:c r="CI18" s="415"/>
      <x:c r="CJ18" s="415"/>
      <x:c r="CK18" s="415"/>
      <x:c r="CL18" s="415"/>
      <x:c r="CM18" s="415"/>
    </x:row>
    <x:row r="19" ht="22" customHeight="1">
      <x:c r="A19" s="480"/>
      <x:c r="B19" s="383" t="str">
        <x:f t="shared" si="1"/>
        <x:v>Samarqand</x:v>
      </x:c>
      <x:c r="C19" s="802">
        <x:f t="shared" si="0"/>
        <x:v>27000</x:v>
      </x:c>
      <x:c r="D19" s="802"/>
      <x:c r="E19" s="383">
        <x:v>8</x:v>
      </x:c>
      <x:c r="F19" s="803"/>
      <x:c r="G19" s="383"/>
      <x:c r="H19" s="804" t="s">
        <x:v>196</x:v>
      </x:c>
      <x:c r="I19" s="805" t="s">
        <x:v>162</x:v>
      </x:c>
      <x:c r="J19" s="806" t="n" cm="1">
        <x:f t="array" ref="J19">IFERROR(_xlfn.XLOOKUP($I$7,Pivot!$B$2:$EU$2,_xlfn.XLOOKUP($I19,Pivot!$A$11:$A$35,Pivot!$B$11:$EU$35),0,0),0)</x:f>
        <x:v>45604000</x:v>
      </x:c>
      <x:c r="K19" s="806"/>
      <x:c r="L19" s="806"/>
      <x:c r="M19" s="806" t="n">
        <x:f>'LM Kassa'!C17</x:f>
        <x:v>1981200</x:v>
      </x:c>
      <x:c r="N19" s="806"/>
      <x:c r="O19" s="807"/>
      <x:c r="P19" s="383"/>
      <x:c r="Q19" s="383"/>
      <x:c r="R19" s="383"/>
      <x:c r="S19" s="808" t="str">
        <x:f t="shared" si="2"/>
      </x:c>
      <x:c r="T19" s="808"/>
      <x:c r="U19" s="802" t="str">
        <x:f t="shared" si="3"/>
      </x:c>
      <x:c r="V19" s="802"/>
      <x:c r="W19" s="786">
        <x:v>8</x:v>
      </x:c>
      <x:c r="X19" s="786"/>
      <x:c r="Y19" s="808" t="s">
        <x:v>196</x:v>
      </x:c>
      <x:c r="Z19" s="809" t="s">
        <x:v>162</x:v>
      </x:c>
      <x:c r="AA19" s="790" t="str">
        <x:f>_xlfn.LET(_xlpm.r, MATCH($I19, Pivot!$A$11:$A$35, 0),_xlpm.c, MATCH($C$7, Pivot!$B$2:$EU$2, 0),IFERROR(INDEX(Pivot!$B$11:$EU$35, _xlpm.r, _xlpm.c), 0))</x:f>
      </x:c>
      <x:c r="AB19" s="574" t="str">
        <x:f>_xlfn.LET(_xlpm.r, MATCH($I19, Pivot!$A$11:$A$35, 0),_xlpm.c, MATCH($C$6, Pivot!$B$2:$EU$2, 0),IFERROR(INDEX(Pivot!$B$11:$EU$35, _xlpm.r, _xlpm.c), 0))</x:f>
      </x:c>
      <x:c r="AC19" s="574">
        <x:f t="shared" si="4"/>
        <x:v>0</x:v>
      </x:c>
      <x:c r="AD19" s="574" t="n">
        <x:f>IF(AC19&gt;0,MAX($AD$12:AD18)+1,0)</x:f>
        <x:v>0</x:v>
      </x:c>
      <x:c r="AE19" s="574"/>
      <x:c r="AF19" s="790" t="str">
        <x:f>_xlfn.LET(_xlpm.r, MATCH($I19, Pivot!$A$11:$A$35, 0),_xlpm.c, MATCH($S$7, Pivot!$B$2:$EU$2, 0),IFERROR(INDEX(Pivot!$B$11:$EU$35, _xlpm.r, _xlpm.c), 0))</x:f>
      </x:c>
      <x:c r="AG19" s="790" t="e">
        <x:f>_xlfn.LET(_xlpm.r, MATCH($I19, Pivot!$A$11:$A$35, 0),_xlpm.c, MATCH($S$6, Pivot!$B$2:$EU$2, 0),IFERROR(INDEX(Pivot!$B$11:$EU$35, _xlpm.r, _xlpm.c), 0))</x:f>
        <x:v>#N/A</x:v>
      </x:c>
      <x:c r="AH19" s="790">
        <x:f t="shared" si="5"/>
        <x:v>0</x:v>
      </x:c>
      <x:c r="AI19" s="810" t="n">
        <x:f>IF(AH19&gt;0,MAX($AI$12:AI18)+1,0)</x:f>
        <x:v>0</x:v>
      </x:c>
      <x:c r="AJ19" s="383"/>
      <x:c r="AK19" s="383"/>
      <x:c r="AL19" s="383"/>
      <x:c r="AM19" s="383"/>
      <x:c r="AN19" s="383"/>
      <x:c r="AO19" s="383"/>
      <x:c r="AP19" s="383"/>
      <x:c r="AQ19" s="383"/>
      <x:c r="AR19" s="383"/>
      <x:c r="AS19" s="383"/>
      <x:c r="AT19" s="383"/>
      <x:c r="AU19" s="383"/>
      <x:c r="AV19" s="383"/>
      <x:c r="AW19" s="383"/>
      <x:c r="AX19" s="383"/>
      <x:c r="AY19" s="383"/>
      <x:c r="AZ19" s="383"/>
      <x:c r="BA19" s="383"/>
      <x:c r="BB19" s="383"/>
      <x:c r="BC19" s="383"/>
      <x:c r="BD19" s="383"/>
      <x:c r="BE19" s="383"/>
      <x:c r="BF19" s="383"/>
      <x:c r="BG19" s="383"/>
      <x:c r="BH19" s="383"/>
      <x:c r="BI19" s="383"/>
      <x:c r="BJ19" s="383"/>
      <x:c r="BK19" s="383"/>
      <x:c r="BL19" s="383"/>
      <x:c r="BM19" s="383"/>
      <x:c r="BN19" s="383"/>
      <x:c r="BO19" s="383"/>
      <x:c r="BP19" s="383"/>
      <x:c r="BQ19" s="383"/>
      <x:c r="BR19" s="383"/>
      <x:c r="BS19" s="383"/>
      <x:c r="BT19" s="383"/>
      <x:c r="BU19" s="383"/>
      <x:c r="BV19" s="383"/>
      <x:c r="BW19" s="383"/>
      <x:c r="BX19" s="383"/>
      <x:c r="BY19" s="383"/>
      <x:c r="BZ19" s="383"/>
      <x:c r="CA19" s="383"/>
      <x:c r="CB19" s="383"/>
      <x:c r="CC19" s="383"/>
      <x:c r="CD19" s="383"/>
      <x:c r="CE19" s="383"/>
      <x:c r="CF19" s="383"/>
      <x:c r="CG19" s="383"/>
      <x:c r="CH19" s="383"/>
      <x:c r="CI19" s="383"/>
      <x:c r="CJ19" s="383"/>
      <x:c r="CK19" s="383"/>
      <x:c r="CL19" s="383"/>
      <x:c r="CM19" s="383"/>
    </x:row>
    <x:row r="20" ht="22" customHeight="1">
      <x:c r="A20" s="479"/>
      <x:c r="B20" s="415" t="str">
        <x:f t="shared" si="1"/>
        <x:v>Buxoro</x:v>
      </x:c>
      <x:c r="C20" s="891">
        <x:f t="shared" si="0"/>
        <x:v>28000</x:v>
      </x:c>
      <x:c r="D20" s="891"/>
      <x:c r="E20" s="415">
        <x:v>9</x:v>
      </x:c>
      <x:c r="F20" s="892"/>
      <x:c r="G20" s="415"/>
      <x:c r="H20" s="893" t="s">
        <x:v>25</x:v>
      </x:c>
      <x:c r="I20" s="894" t="s">
        <x:v>161</x:v>
      </x:c>
      <x:c r="J20" s="895" t="n" cm="1">
        <x:f t="array" ref="J20">IFERROR(_xlfn.XLOOKUP($I$7,Pivot!$B$2:$EU$2,_xlfn.XLOOKUP($I20,Pivot!$A$11:$A$35,Pivot!$B$11:$EU$35),0,0),0)</x:f>
        <x:v>67883400</x:v>
      </x:c>
      <x:c r="K20" s="895"/>
      <x:c r="L20" s="895"/>
      <x:c r="M20" s="895" t="n">
        <x:f>'LM Kassa'!C20</x:f>
        <x:v>1721300</x:v>
      </x:c>
      <x:c r="N20" s="895"/>
      <x:c r="O20" s="896"/>
      <x:c r="P20" s="415"/>
      <x:c r="Q20" s="415"/>
      <x:c r="R20" s="415"/>
      <x:c r="S20" s="897" t="str">
        <x:f t="shared" si="2"/>
      </x:c>
      <x:c r="T20" s="897"/>
      <x:c r="U20" s="891" t="str">
        <x:f t="shared" si="3"/>
      </x:c>
      <x:c r="V20" s="891"/>
      <x:c r="W20" s="899">
        <x:v>9</x:v>
      </x:c>
      <x:c r="X20" s="899"/>
      <x:c r="Y20" s="897" t="s">
        <x:v>25</x:v>
      </x:c>
      <x:c r="Z20" s="900" t="s">
        <x:v>161</x:v>
      </x:c>
      <x:c r="AA20" s="899" t="str">
        <x:f>_xlfn.LET(_xlpm.r, MATCH($I20, Pivot!$A$11:$A$35, 0),_xlpm.c, MATCH($C$7, Pivot!$B$2:$EU$2, 0),IFERROR(INDEX(Pivot!$B$11:$EU$35, _xlpm.r, _xlpm.c), 0))</x:f>
      </x:c>
      <x:c r="AB20" s="624" t="n">
        <x:f>_xlfn.LET(_xlpm.r, MATCH($I20, Pivot!$A$11:$A$35, 0),_xlpm.c, MATCH($C$6, Pivot!$B$2:$EU$2, 0),IFERROR(INDEX(Pivot!$B$11:$EU$35, _xlpm.r, _xlpm.c), 0))</x:f>
        <x:v>191000</x:v>
      </x:c>
      <x:c r="AC20" s="624">
        <x:f t="shared" si="4"/>
        <x:v>191000</x:v>
      </x:c>
      <x:c r="AD20" s="624" t="n">
        <x:f>IF(AC20&gt;0,MAX($AD$12:AD19)+1,0)</x:f>
        <x:v>7</x:v>
      </x:c>
      <x:c r="AE20" s="624"/>
      <x:c r="AF20" s="899" t="str">
        <x:f>_xlfn.LET(_xlpm.r, MATCH($I20, Pivot!$A$11:$A$35, 0),_xlpm.c, MATCH($S$7, Pivot!$B$2:$EU$2, 0),IFERROR(INDEX(Pivot!$B$11:$EU$35, _xlpm.r, _xlpm.c), 0))</x:f>
      </x:c>
      <x:c r="AG20" s="899" t="e">
        <x:f>_xlfn.LET(_xlpm.r, MATCH($I20, Pivot!$A$11:$A$35, 0),_xlpm.c, MATCH($S$6, Pivot!$B$2:$EU$2, 0),IFERROR(INDEX(Pivot!$B$11:$EU$35, _xlpm.r, _xlpm.c), 0))</x:f>
        <x:v>#N/A</x:v>
      </x:c>
      <x:c r="AH20" s="899">
        <x:f t="shared" si="5"/>
        <x:v>0</x:v>
      </x:c>
      <x:c r="AI20" s="901" t="n">
        <x:f>IF(AH20&gt;0,MAX($AI$12:AI19)+1,0)</x:f>
        <x:v>0</x:v>
      </x:c>
      <x:c r="AJ20" s="415"/>
      <x:c r="AK20" s="415"/>
      <x:c r="AL20" s="415"/>
      <x:c r="AM20" s="415"/>
      <x:c r="AN20" s="415"/>
      <x:c r="AO20" s="415"/>
      <x:c r="AP20" s="415"/>
      <x:c r="AQ20" s="415"/>
      <x:c r="AR20" s="415"/>
      <x:c r="AS20" s="415"/>
      <x:c r="AT20" s="415"/>
      <x:c r="AU20" s="415"/>
      <x:c r="AV20" s="415"/>
      <x:c r="AW20" s="415"/>
      <x:c r="AX20" s="415"/>
      <x:c r="AY20" s="415"/>
      <x:c r="AZ20" s="415"/>
      <x:c r="BA20" s="415"/>
      <x:c r="BB20" s="415"/>
      <x:c r="BC20" s="415"/>
      <x:c r="BD20" s="415"/>
      <x:c r="BE20" s="415"/>
      <x:c r="BF20" s="415"/>
      <x:c r="BG20" s="415"/>
      <x:c r="BH20" s="415"/>
      <x:c r="BI20" s="415"/>
      <x:c r="BJ20" s="415"/>
      <x:c r="BK20" s="415"/>
      <x:c r="BL20" s="415"/>
      <x:c r="BM20" s="415"/>
      <x:c r="BN20" s="415"/>
      <x:c r="BO20" s="415"/>
      <x:c r="BP20" s="415"/>
      <x:c r="BQ20" s="415"/>
      <x:c r="BR20" s="415"/>
      <x:c r="BS20" s="415"/>
      <x:c r="BT20" s="415"/>
      <x:c r="BU20" s="415"/>
      <x:c r="BV20" s="415"/>
      <x:c r="BW20" s="415"/>
      <x:c r="BX20" s="415"/>
      <x:c r="BY20" s="415"/>
      <x:c r="BZ20" s="415"/>
      <x:c r="CA20" s="415"/>
      <x:c r="CB20" s="415"/>
      <x:c r="CC20" s="415"/>
      <x:c r="CD20" s="415"/>
      <x:c r="CE20" s="415"/>
      <x:c r="CF20" s="415"/>
      <x:c r="CG20" s="415"/>
      <x:c r="CH20" s="415"/>
      <x:c r="CI20" s="415"/>
      <x:c r="CJ20" s="415"/>
      <x:c r="CK20" s="415"/>
      <x:c r="CL20" s="415"/>
      <x:c r="CM20" s="415"/>
    </x:row>
    <x:row r="21" ht="22" customHeight="1">
      <x:c r="A21" s="480"/>
      <x:c r="B21" s="383" t="str">
        <x:f t="shared" si="1"/>
        <x:v>Navoiy</x:v>
      </x:c>
      <x:c r="C21" s="802">
        <x:f t="shared" si="0"/>
        <x:v>900000</x:v>
      </x:c>
      <x:c r="D21" s="802"/>
      <x:c r="E21" s="383">
        <x:v>10</x:v>
      </x:c>
      <x:c r="F21" s="803"/>
      <x:c r="G21" s="383"/>
      <x:c r="H21" s="804" t="s">
        <x:v>41</x:v>
      </x:c>
      <x:c r="I21" s="805" t="s">
        <x:v>170</x:v>
      </x:c>
      <x:c r="J21" s="806" t="n" cm="1">
        <x:f t="array" ref="J21">IFERROR(_xlfn.XLOOKUP($I$7,Pivot!$B$2:$EU$2,_xlfn.XLOOKUP($I21,Pivot!$A$11:$A$35,Pivot!$B$11:$EU$35),0,0),0)</x:f>
        <x:v>251162500</x:v>
      </x:c>
      <x:c r="K21" s="806"/>
      <x:c r="L21" s="806"/>
      <x:c r="M21" s="806" t="n">
        <x:f>'LM Kassa'!C8</x:f>
        <x:v>5362300</x:v>
      </x:c>
      <x:c r="N21" s="806"/>
      <x:c r="O21" s="807"/>
      <x:c r="P21" s="383"/>
      <x:c r="Q21" s="383"/>
      <x:c r="R21" s="383"/>
      <x:c r="S21" s="808" t="str">
        <x:f t="shared" si="2"/>
      </x:c>
      <x:c r="T21" s="808"/>
      <x:c r="U21" s="811" t="str">
        <x:f t="shared" si="3"/>
      </x:c>
      <x:c r="V21" s="811"/>
      <x:c r="W21" s="786">
        <x:v>10</x:v>
      </x:c>
      <x:c r="X21" s="786"/>
      <x:c r="Y21" s="808" t="s">
        <x:v>41</x:v>
      </x:c>
      <x:c r="Z21" s="809" t="s">
        <x:v>170</x:v>
      </x:c>
      <x:c r="AA21" s="790" t="n">
        <x:f>_xlfn.LET(_xlpm.r, MATCH($I21, Pivot!$A$11:$A$35, 0),_xlpm.c, MATCH($C$7, Pivot!$B$2:$EU$2, 0),IFERROR(INDEX(Pivot!$B$11:$EU$35, _xlpm.r, _xlpm.c), 0))</x:f>
        <x:v>27000</x:v>
      </x:c>
      <x:c r="AB21" s="574" t="str">
        <x:f>_xlfn.LET(_xlpm.r, MATCH($I21, Pivot!$A$11:$A$35, 0),_xlpm.c, MATCH($C$6, Pivot!$B$2:$EU$2, 0),IFERROR(INDEX(Pivot!$B$11:$EU$35, _xlpm.r, _xlpm.c), 0))</x:f>
      </x:c>
      <x:c r="AC21" s="574">
        <x:f t="shared" si="4"/>
        <x:v>27000</x:v>
      </x:c>
      <x:c r="AD21" s="574" t="n">
        <x:f>IF(AC21&gt;0,MAX($AD$12:AD20)+1,0)</x:f>
        <x:v>8</x:v>
      </x:c>
      <x:c r="AE21" s="574"/>
      <x:c r="AF21" s="790" t="n">
        <x:f>_xlfn.LET(_xlpm.r, MATCH($I21, Pivot!$A$11:$A$35, 0),_xlpm.c, MATCH($S$7, Pivot!$B$2:$EU$2, 0),IFERROR(INDEX(Pivot!$B$11:$EU$35, _xlpm.r, _xlpm.c), 0))</x:f>
        <x:v>165000</x:v>
      </x:c>
      <x:c r="AG21" s="790" t="e">
        <x:f>_xlfn.LET(_xlpm.r, MATCH($I21, Pivot!$A$11:$A$35, 0),_xlpm.c, MATCH($S$6, Pivot!$B$2:$EU$2, 0),IFERROR(INDEX(Pivot!$B$11:$EU$35, _xlpm.r, _xlpm.c), 0))</x:f>
        <x:v>#N/A</x:v>
      </x:c>
      <x:c r="AH21" s="790">
        <x:f t="shared" si="5"/>
        <x:v>165000</x:v>
      </x:c>
      <x:c r="AI21" s="810" t="e">
        <x:f>IF(AH21&gt;0,MAX($AI$12:AI20)+1,0)</x:f>
        <x:v>#N/A</x:v>
      </x:c>
      <x:c r="AJ21" s="383"/>
      <x:c r="AK21" s="383"/>
      <x:c r="AL21" s="383"/>
      <x:c r="AM21" s="383"/>
      <x:c r="AN21" s="383"/>
      <x:c r="AO21" s="383"/>
      <x:c r="AP21" s="383"/>
      <x:c r="AQ21" s="383"/>
      <x:c r="AR21" s="383"/>
      <x:c r="AS21" s="383"/>
      <x:c r="AT21" s="383"/>
      <x:c r="AU21" s="383"/>
      <x:c r="AV21" s="383"/>
      <x:c r="AW21" s="383"/>
      <x:c r="AX21" s="383"/>
      <x:c r="AY21" s="383"/>
      <x:c r="AZ21" s="383"/>
      <x:c r="BA21" s="383"/>
      <x:c r="BB21" s="383"/>
      <x:c r="BC21" s="383"/>
      <x:c r="BD21" s="383"/>
      <x:c r="BE21" s="383"/>
      <x:c r="BF21" s="383"/>
      <x:c r="BG21" s="383"/>
      <x:c r="BH21" s="383"/>
      <x:c r="BI21" s="383"/>
      <x:c r="BJ21" s="383"/>
      <x:c r="BK21" s="383"/>
      <x:c r="BL21" s="383"/>
      <x:c r="BM21" s="383"/>
      <x:c r="BN21" s="383"/>
      <x:c r="BO21" s="383"/>
      <x:c r="BP21" s="383"/>
      <x:c r="BQ21" s="383"/>
      <x:c r="BR21" s="383"/>
      <x:c r="BS21" s="383"/>
      <x:c r="BT21" s="383"/>
      <x:c r="BU21" s="383"/>
      <x:c r="BV21" s="383"/>
      <x:c r="BW21" s="383"/>
      <x:c r="BX21" s="383"/>
      <x:c r="BY21" s="383"/>
      <x:c r="BZ21" s="383"/>
      <x:c r="CA21" s="383"/>
      <x:c r="CB21" s="383"/>
      <x:c r="CC21" s="383"/>
      <x:c r="CD21" s="383"/>
      <x:c r="CE21" s="383"/>
      <x:c r="CF21" s="383"/>
      <x:c r="CG21" s="383"/>
      <x:c r="CH21" s="383"/>
      <x:c r="CI21" s="383"/>
      <x:c r="CJ21" s="383"/>
      <x:c r="CK21" s="383"/>
      <x:c r="CL21" s="383"/>
      <x:c r="CM21" s="383"/>
    </x:row>
    <x:row r="22" ht="22" customHeight="1">
      <x:c r="A22" s="479"/>
      <x:c r="B22" s="415" t="str">
        <x:f t="shared" si="1"/>
        <x:v>Xorazm</x:v>
      </x:c>
      <x:c r="C22" s="891">
        <x:f t="shared" si="0"/>
        <x:v>14000</x:v>
      </x:c>
      <x:c r="D22" s="891"/>
      <x:c r="E22" s="415">
        <x:v>11</x:v>
      </x:c>
      <x:c r="F22" s="892"/>
      <x:c r="G22" s="415"/>
      <x:c r="H22" s="893" t="s">
        <x:v>199</x:v>
      </x:c>
      <x:c r="I22" s="894" t="s">
        <x:v>163</x:v>
      </x:c>
      <x:c r="J22" s="895" t="n" cm="1">
        <x:f t="array" ref="J22">IFERROR(_xlfn.XLOOKUP($I$7,Pivot!$B$2:$EU$2,_xlfn.XLOOKUP($I22,Pivot!$A$11:$A$35,Pivot!$B$11:$EU$35),0,0),0)</x:f>
        <x:v>27088400</x:v>
      </x:c>
      <x:c r="K22" s="895"/>
      <x:c r="L22" s="895"/>
      <x:c r="M22" s="895" t="n">
        <x:f>'LM Kassa'!C23</x:f>
        <x:v>707200</x:v>
      </x:c>
      <x:c r="N22" s="895"/>
      <x:c r="O22" s="896"/>
      <x:c r="P22" s="415"/>
      <x:c r="Q22" s="415"/>
      <x:c r="R22" s="415"/>
      <x:c r="S22" s="897" t="str">
        <x:f t="shared" si="2"/>
      </x:c>
      <x:c r="T22" s="897"/>
      <x:c r="U22" s="902" t="str">
        <x:f t="shared" si="3"/>
      </x:c>
      <x:c r="V22" s="902"/>
      <x:c r="W22" s="899">
        <x:v>11</x:v>
      </x:c>
      <x:c r="X22" s="899"/>
      <x:c r="Y22" s="897" t="s">
        <x:v>199</x:v>
      </x:c>
      <x:c r="Z22" s="900" t="s">
        <x:v>163</x:v>
      </x:c>
      <x:c r="AA22" s="899" t="str">
        <x:f>_xlfn.LET(_xlpm.r, MATCH($I22, Pivot!$A$11:$A$35, 0),_xlpm.c, MATCH($C$7, Pivot!$B$2:$EU$2, 0),IFERROR(INDEX(Pivot!$B$11:$EU$35, _xlpm.r, _xlpm.c), 0))</x:f>
      </x:c>
      <x:c r="AB22" s="624" t="str">
        <x:f>_xlfn.LET(_xlpm.r, MATCH($I22, Pivot!$A$11:$A$35, 0),_xlpm.c, MATCH($C$6, Pivot!$B$2:$EU$2, 0),IFERROR(INDEX(Pivot!$B$11:$EU$35, _xlpm.r, _xlpm.c), 0))</x:f>
      </x:c>
      <x:c r="AC22" s="624">
        <x:f t="shared" si="4"/>
        <x:v>0</x:v>
      </x:c>
      <x:c r="AD22" s="624" t="n">
        <x:f>IF(AC22&gt;0,MAX($AD$12:AD21)+1,0)</x:f>
        <x:v>0</x:v>
      </x:c>
      <x:c r="AE22" s="624"/>
      <x:c r="AF22" s="899" t="str">
        <x:f>_xlfn.LET(_xlpm.r, MATCH($I22, Pivot!$A$11:$A$35, 0),_xlpm.c, MATCH($S$7, Pivot!$B$2:$EU$2, 0),IFERROR(INDEX(Pivot!$B$11:$EU$35, _xlpm.r, _xlpm.c), 0))</x:f>
      </x:c>
      <x:c r="AG22" s="899" t="e">
        <x:f>_xlfn.LET(_xlpm.r, MATCH($I22, Pivot!$A$11:$A$35, 0),_xlpm.c, MATCH($S$6, Pivot!$B$2:$EU$2, 0),IFERROR(INDEX(Pivot!$B$11:$EU$35, _xlpm.r, _xlpm.c), 0))</x:f>
        <x:v>#N/A</x:v>
      </x:c>
      <x:c r="AH22" s="899">
        <x:f t="shared" si="5"/>
        <x:v>0</x:v>
      </x:c>
      <x:c r="AI22" s="901" t="n">
        <x:f>IF(AH22&gt;0,MAX($AI$12:AI21)+1,0)</x:f>
        <x:v>0</x:v>
      </x:c>
      <x:c r="AJ22" s="415"/>
      <x:c r="AK22" s="415"/>
      <x:c r="AL22" s="415"/>
      <x:c r="AM22" s="415"/>
      <x:c r="AN22" s="415"/>
      <x:c r="AO22" s="415"/>
      <x:c r="AP22" s="415"/>
      <x:c r="AQ22" s="415"/>
      <x:c r="AR22" s="415"/>
      <x:c r="AS22" s="415"/>
      <x:c r="AT22" s="415"/>
      <x:c r="AU22" s="415"/>
      <x:c r="AV22" s="415"/>
      <x:c r="AW22" s="415"/>
      <x:c r="AX22" s="415"/>
      <x:c r="AY22" s="415"/>
      <x:c r="AZ22" s="415"/>
      <x:c r="BA22" s="415"/>
      <x:c r="BB22" s="415"/>
      <x:c r="BC22" s="415"/>
      <x:c r="BD22" s="415"/>
      <x:c r="BE22" s="415"/>
      <x:c r="BF22" s="415"/>
      <x:c r="BG22" s="415"/>
      <x:c r="BH22" s="415"/>
      <x:c r="BI22" s="415"/>
      <x:c r="BJ22" s="415"/>
      <x:c r="BK22" s="415"/>
      <x:c r="BL22" s="415"/>
      <x:c r="BM22" s="415"/>
      <x:c r="BN22" s="415"/>
      <x:c r="BO22" s="415"/>
      <x:c r="BP22" s="415"/>
      <x:c r="BQ22" s="415"/>
      <x:c r="BR22" s="415"/>
      <x:c r="BS22" s="415"/>
      <x:c r="BT22" s="415"/>
      <x:c r="BU22" s="415"/>
      <x:c r="BV22" s="415"/>
      <x:c r="BW22" s="415"/>
      <x:c r="BX22" s="415"/>
      <x:c r="BY22" s="415"/>
      <x:c r="BZ22" s="415"/>
      <x:c r="CA22" s="415"/>
      <x:c r="CB22" s="415"/>
      <x:c r="CC22" s="415"/>
      <x:c r="CD22" s="415"/>
      <x:c r="CE22" s="415"/>
      <x:c r="CF22" s="415"/>
      <x:c r="CG22" s="415"/>
      <x:c r="CH22" s="415"/>
      <x:c r="CI22" s="415"/>
      <x:c r="CJ22" s="415"/>
      <x:c r="CK22" s="415"/>
      <x:c r="CL22" s="415"/>
      <x:c r="CM22" s="415"/>
    </x:row>
    <x:row r="23" ht="22" customHeight="1">
      <x:c r="A23" s="480"/>
      <x:c r="B23" s="383" t="str">
        <x:f t="shared" si="1"/>
      </x:c>
      <x:c r="C23" s="802" t="str">
        <x:f t="shared" si="0"/>
      </x:c>
      <x:c r="D23" s="802"/>
      <x:c r="E23" s="383">
        <x:v>12</x:v>
      </x:c>
      <x:c r="F23" s="803"/>
      <x:c r="G23" s="383"/>
      <x:c r="H23" s="804" t="s">
        <x:v>19</x:v>
      </x:c>
      <x:c r="I23" s="805" t="s">
        <x:v>158</x:v>
      </x:c>
      <x:c r="J23" s="806" t="n" cm="1">
        <x:f t="array" ref="J23">IFERROR(_xlfn.XLOOKUP($I$7,Pivot!$B$2:$EU$2,_xlfn.XLOOKUP($I23,Pivot!$A$11:$A$35,Pivot!$B$11:$EU$35),0,0),0)</x:f>
        <x:v>110348300</x:v>
      </x:c>
      <x:c r="K23" s="806"/>
      <x:c r="L23" s="806"/>
      <x:c r="M23" s="806" t="n">
        <x:f>'LM Kassa'!C11</x:f>
        <x:v>2602300</x:v>
      </x:c>
      <x:c r="N23" s="806"/>
      <x:c r="O23" s="807"/>
      <x:c r="P23" s="383"/>
      <x:c r="Q23" s="383"/>
      <x:c r="R23" s="383"/>
      <x:c r="S23" s="808" t="str">
        <x:f t="shared" si="2"/>
      </x:c>
      <x:c r="T23" s="808"/>
      <x:c r="U23" s="811" t="str">
        <x:f t="shared" si="3"/>
      </x:c>
      <x:c r="V23" s="811"/>
      <x:c r="W23" s="786">
        <x:v>12</x:v>
      </x:c>
      <x:c r="X23" s="786"/>
      <x:c r="Y23" s="808" t="s">
        <x:v>19</x:v>
      </x:c>
      <x:c r="Z23" s="809" t="s">
        <x:v>158</x:v>
      </x:c>
      <x:c r="AA23" s="790" t="n">
        <x:f>_xlfn.LET(_xlpm.r, MATCH($I23, Pivot!$A$11:$A$35, 0),_xlpm.c, MATCH($C$7, Pivot!$B$2:$EU$2, 0),IFERROR(INDEX(Pivot!$B$11:$EU$35, _xlpm.r, _xlpm.c), 0))</x:f>
        <x:v>28000</x:v>
      </x:c>
      <x:c r="AB23" s="574" t="str">
        <x:f>_xlfn.LET(_xlpm.r, MATCH($I23, Pivot!$A$11:$A$35, 0),_xlpm.c, MATCH($C$6, Pivot!$B$2:$EU$2, 0),IFERROR(INDEX(Pivot!$B$11:$EU$35, _xlpm.r, _xlpm.c), 0))</x:f>
      </x:c>
      <x:c r="AC23" s="574">
        <x:f t="shared" si="4"/>
        <x:v>28000</x:v>
      </x:c>
      <x:c r="AD23" s="574" t="n">
        <x:f>IF(AC23&gt;0,MAX($AD$12:AD22)+1,0)</x:f>
        <x:v>9</x:v>
      </x:c>
      <x:c r="AE23" s="574"/>
      <x:c r="AF23" s="790" t="str">
        <x:f>_xlfn.LET(_xlpm.r, MATCH($I23, Pivot!$A$11:$A$35, 0),_xlpm.c, MATCH($S$7, Pivot!$B$2:$EU$2, 0),IFERROR(INDEX(Pivot!$B$11:$EU$35, _xlpm.r, _xlpm.c), 0))</x:f>
      </x:c>
      <x:c r="AG23" s="790" t="e">
        <x:f>_xlfn.LET(_xlpm.r, MATCH($I23, Pivot!$A$11:$A$35, 0),_xlpm.c, MATCH($S$6, Pivot!$B$2:$EU$2, 0),IFERROR(INDEX(Pivot!$B$11:$EU$35, _xlpm.r, _xlpm.c), 0))</x:f>
        <x:v>#N/A</x:v>
      </x:c>
      <x:c r="AH23" s="790">
        <x:f t="shared" si="5"/>
        <x:v>0</x:v>
      </x:c>
      <x:c r="AI23" s="810" t="n">
        <x:f>IF(AH23&gt;0,MAX($AI$12:AI22)+1,0)</x:f>
        <x:v>0</x:v>
      </x:c>
      <x:c r="AJ23" s="383"/>
      <x:c r="AK23" s="383"/>
      <x:c r="AL23" s="383"/>
      <x:c r="AM23" s="383"/>
      <x:c r="AN23" s="383"/>
      <x:c r="AO23" s="383"/>
      <x:c r="AP23" s="383"/>
      <x:c r="AQ23" s="383"/>
      <x:c r="AR23" s="383"/>
      <x:c r="AS23" s="383"/>
      <x:c r="AT23" s="383"/>
      <x:c r="AU23" s="383"/>
      <x:c r="AV23" s="383"/>
      <x:c r="AW23" s="383"/>
      <x:c r="AX23" s="383"/>
      <x:c r="AY23" s="383"/>
      <x:c r="AZ23" s="383"/>
      <x:c r="BA23" s="383"/>
      <x:c r="BB23" s="383"/>
      <x:c r="BC23" s="383"/>
      <x:c r="BD23" s="383"/>
      <x:c r="BE23" s="383"/>
      <x:c r="BF23" s="383"/>
      <x:c r="BG23" s="383"/>
      <x:c r="BH23" s="383"/>
      <x:c r="BI23" s="383"/>
      <x:c r="BJ23" s="383"/>
      <x:c r="BK23" s="383"/>
      <x:c r="BL23" s="383"/>
      <x:c r="BM23" s="383"/>
      <x:c r="BN23" s="383"/>
      <x:c r="BO23" s="383"/>
      <x:c r="BP23" s="383"/>
      <x:c r="BQ23" s="383"/>
      <x:c r="BR23" s="383"/>
      <x:c r="BS23" s="383"/>
      <x:c r="BT23" s="383"/>
      <x:c r="BU23" s="383"/>
      <x:c r="BV23" s="383"/>
      <x:c r="BW23" s="383"/>
      <x:c r="BX23" s="383"/>
      <x:c r="BY23" s="383"/>
      <x:c r="BZ23" s="383"/>
      <x:c r="CA23" s="383"/>
      <x:c r="CB23" s="383"/>
      <x:c r="CC23" s="383"/>
      <x:c r="CD23" s="383"/>
      <x:c r="CE23" s="383"/>
      <x:c r="CF23" s="383"/>
      <x:c r="CG23" s="383"/>
      <x:c r="CH23" s="383"/>
      <x:c r="CI23" s="383"/>
      <x:c r="CJ23" s="383"/>
      <x:c r="CK23" s="383"/>
      <x:c r="CL23" s="383"/>
      <x:c r="CM23" s="383"/>
    </x:row>
    <x:row r="24" ht="22" customHeight="1">
      <x:c r="A24" s="479"/>
      <x:c r="B24" s="415" t="str">
        <x:f t="shared" si="1"/>
      </x:c>
      <x:c r="C24" s="891" t="str">
        <x:f t="shared" si="0"/>
      </x:c>
      <x:c r="D24" s="891"/>
      <x:c r="E24" s="415">
        <x:v>13</x:v>
      </x:c>
      <x:c r="F24" s="892"/>
      <x:c r="G24" s="415"/>
      <x:c r="H24" s="893" t="s">
        <x:v>31</x:v>
      </x:c>
      <x:c r="I24" s="894" t="s">
        <x:v>165</x:v>
      </x:c>
      <x:c r="J24" s="895" t="n" cm="1">
        <x:f t="array" ref="J24">IFERROR(_xlfn.XLOOKUP($I$7,Pivot!$B$2:$EU$2,_xlfn.XLOOKUP($I24,Pivot!$A$11:$A$35,Pivot!$B$11:$EU$35),0,0),0)</x:f>
        <x:v>161270000</x:v>
      </x:c>
      <x:c r="K24" s="895"/>
      <x:c r="L24" s="895"/>
      <x:c r="M24" s="895" t="n">
        <x:f>'LM Kassa'!C14</x:f>
        <x:v>3993300</x:v>
      </x:c>
      <x:c r="N24" s="895"/>
      <x:c r="O24" s="896"/>
      <x:c r="P24" s="415"/>
      <x:c r="Q24" s="415"/>
      <x:c r="R24" s="415"/>
      <x:c r="S24" s="897" t="str">
        <x:f t="shared" si="2"/>
      </x:c>
      <x:c r="T24" s="897"/>
      <x:c r="U24" s="902" t="str">
        <x:f t="shared" si="3"/>
      </x:c>
      <x:c r="V24" s="902"/>
      <x:c r="W24" s="899">
        <x:v>13</x:v>
      </x:c>
      <x:c r="X24" s="899"/>
      <x:c r="Y24" s="897" t="s">
        <x:v>31</x:v>
      </x:c>
      <x:c r="Z24" s="900" t="s">
        <x:v>165</x:v>
      </x:c>
      <x:c r="AA24" s="899" t="str">
        <x:f>_xlfn.LET(_xlpm.r, MATCH($I24, Pivot!$A$11:$A$35, 0),_xlpm.c, MATCH($C$7, Pivot!$B$2:$EU$2, 0),IFERROR(INDEX(Pivot!$B$11:$EU$35, _xlpm.r, _xlpm.c), 0))</x:f>
      </x:c>
      <x:c r="AB24" s="624" t="n">
        <x:f>_xlfn.LET(_xlpm.r, MATCH($I24, Pivot!$A$11:$A$35, 0),_xlpm.c, MATCH($C$6, Pivot!$B$2:$EU$2, 0),IFERROR(INDEX(Pivot!$B$11:$EU$35, _xlpm.r, _xlpm.c), 0))</x:f>
        <x:v>900000</x:v>
      </x:c>
      <x:c r="AC24" s="624">
        <x:f t="shared" si="4"/>
        <x:v>900000</x:v>
      </x:c>
      <x:c r="AD24" s="624" t="n">
        <x:f>IF(AC24&gt;0,MAX($AD$12:AD23)+1,0)</x:f>
        <x:v>10</x:v>
      </x:c>
      <x:c r="AE24" s="624"/>
      <x:c r="AF24" s="899" t="str">
        <x:f>_xlfn.LET(_xlpm.r, MATCH($I24, Pivot!$A$11:$A$35, 0),_xlpm.c, MATCH($S$7, Pivot!$B$2:$EU$2, 0),IFERROR(INDEX(Pivot!$B$11:$EU$35, _xlpm.r, _xlpm.c), 0))</x:f>
      </x:c>
      <x:c r="AG24" s="899" t="e">
        <x:f>_xlfn.LET(_xlpm.r, MATCH($I24, Pivot!$A$11:$A$35, 0),_xlpm.c, MATCH($S$6, Pivot!$B$2:$EU$2, 0),IFERROR(INDEX(Pivot!$B$11:$EU$35, _xlpm.r, _xlpm.c), 0))</x:f>
        <x:v>#N/A</x:v>
      </x:c>
      <x:c r="AH24" s="899">
        <x:f t="shared" si="5"/>
        <x:v>0</x:v>
      </x:c>
      <x:c r="AI24" s="901" t="n">
        <x:f>IF(AH24&gt;0,MAX($AI$12:AI23)+1,0)</x:f>
        <x:v>0</x:v>
      </x:c>
      <x:c r="AJ24" s="415"/>
      <x:c r="AK24" s="415"/>
      <x:c r="AL24" s="415"/>
      <x:c r="AM24" s="415"/>
      <x:c r="AN24" s="415"/>
      <x:c r="AO24" s="415"/>
      <x:c r="AP24" s="415"/>
      <x:c r="AQ24" s="415"/>
      <x:c r="AR24" s="415"/>
      <x:c r="AS24" s="415"/>
      <x:c r="AT24" s="415"/>
      <x:c r="AU24" s="415"/>
      <x:c r="AV24" s="415"/>
      <x:c r="AW24" s="415"/>
      <x:c r="AX24" s="415"/>
      <x:c r="AY24" s="415"/>
      <x:c r="AZ24" s="415"/>
      <x:c r="BA24" s="415"/>
      <x:c r="BB24" s="415"/>
      <x:c r="BC24" s="415"/>
      <x:c r="BD24" s="415"/>
      <x:c r="BE24" s="415"/>
      <x:c r="BF24" s="415"/>
      <x:c r="BG24" s="415"/>
      <x:c r="BH24" s="415"/>
      <x:c r="BI24" s="415"/>
      <x:c r="BJ24" s="415"/>
      <x:c r="BK24" s="415"/>
      <x:c r="BL24" s="415"/>
      <x:c r="BM24" s="415"/>
      <x:c r="BN24" s="415"/>
      <x:c r="BO24" s="415"/>
      <x:c r="BP24" s="415"/>
      <x:c r="BQ24" s="415"/>
      <x:c r="BR24" s="415"/>
      <x:c r="BS24" s="415"/>
      <x:c r="BT24" s="415"/>
      <x:c r="BU24" s="415"/>
      <x:c r="BV24" s="415"/>
      <x:c r="BW24" s="415"/>
      <x:c r="BX24" s="415"/>
      <x:c r="BY24" s="415"/>
      <x:c r="BZ24" s="415"/>
      <x:c r="CA24" s="415"/>
      <x:c r="CB24" s="415"/>
      <x:c r="CC24" s="415"/>
      <x:c r="CD24" s="415"/>
      <x:c r="CE24" s="415"/>
      <x:c r="CF24" s="415"/>
      <x:c r="CG24" s="415"/>
      <x:c r="CH24" s="415"/>
      <x:c r="CI24" s="415"/>
      <x:c r="CJ24" s="415"/>
      <x:c r="CK24" s="415"/>
      <x:c r="CL24" s="415"/>
      <x:c r="CM24" s="415"/>
    </x:row>
    <x:row r="25" ht="22" customHeight="1">
      <x:c r="A25" s="480"/>
      <x:c r="B25" s="383" t="str">
        <x:f t="shared" si="1"/>
      </x:c>
      <x:c r="C25" s="802" t="str">
        <x:f t="shared" si="0"/>
      </x:c>
      <x:c r="D25" s="802"/>
      <x:c r="E25" s="383">
        <x:v>14</x:v>
      </x:c>
      <x:c r="F25" s="803"/>
      <x:c r="G25" s="383"/>
      <x:c r="H25" s="804" t="s">
        <x:v>53</x:v>
      </x:c>
      <x:c r="I25" s="805" t="s">
        <x:v>176</x:v>
      </x:c>
      <x:c r="J25" s="806" t="n" cm="1">
        <x:f t="array" ref="J25">IFERROR(_xlfn.XLOOKUP($I$7,Pivot!$B$2:$EU$2,_xlfn.XLOOKUP($I25,Pivot!$A$11:$A$35,Pivot!$B$11:$EU$35),0,0),0)</x:f>
        <x:v>24802900</x:v>
      </x:c>
      <x:c r="K25" s="806"/>
      <x:c r="L25" s="806"/>
      <x:c r="M25" s="806" t="n">
        <x:f>'LM Kassa'!C6</x:f>
        <x:v>2333500</x:v>
      </x:c>
      <x:c r="N25" s="806"/>
      <x:c r="O25" s="807"/>
      <x:c r="P25" s="383"/>
      <x:c r="Q25" s="383"/>
      <x:c r="R25" s="383"/>
      <x:c r="S25" s="808" t="str">
        <x:f t="shared" si="2"/>
      </x:c>
      <x:c r="T25" s="808"/>
      <x:c r="U25" s="811" t="str">
        <x:f t="shared" si="3"/>
      </x:c>
      <x:c r="V25" s="811"/>
      <x:c r="W25" s="786">
        <x:v>14</x:v>
      </x:c>
      <x:c r="X25" s="786"/>
      <x:c r="Y25" s="808" t="s">
        <x:v>53</x:v>
      </x:c>
      <x:c r="Z25" s="809" t="s">
        <x:v>176</x:v>
      </x:c>
      <x:c r="AA25" s="790" t="str">
        <x:f>_xlfn.LET(_xlpm.r, MATCH($I25, Pivot!$A$11:$A$35, 0),_xlpm.c, MATCH($C$7, Pivot!$B$2:$EU$2, 0),IFERROR(INDEX(Pivot!$B$11:$EU$35, _xlpm.r, _xlpm.c), 0))</x:f>
      </x:c>
      <x:c r="AB25" s="574" t="str">
        <x:f>_xlfn.LET(_xlpm.r, MATCH($I25, Pivot!$A$11:$A$35, 0),_xlpm.c, MATCH($C$6, Pivot!$B$2:$EU$2, 0),IFERROR(INDEX(Pivot!$B$11:$EU$35, _xlpm.r, _xlpm.c), 0))</x:f>
      </x:c>
      <x:c r="AC25" s="574">
        <x:f t="shared" si="4"/>
        <x:v>0</x:v>
      </x:c>
      <x:c r="AD25" s="574" t="n">
        <x:f>IF(AC25&gt;0,MAX($AD$12:AD24)+1,0)</x:f>
        <x:v>0</x:v>
      </x:c>
      <x:c r="AE25" s="574"/>
      <x:c r="AF25" s="790" t="str">
        <x:f>_xlfn.LET(_xlpm.r, MATCH($I25, Pivot!$A$11:$A$35, 0),_xlpm.c, MATCH($S$7, Pivot!$B$2:$EU$2, 0),IFERROR(INDEX(Pivot!$B$11:$EU$35, _xlpm.r, _xlpm.c), 0))</x:f>
      </x:c>
      <x:c r="AG25" s="790" t="e">
        <x:f>_xlfn.LET(_xlpm.r, MATCH($I25, Pivot!$A$11:$A$35, 0),_xlpm.c, MATCH($S$6, Pivot!$B$2:$EU$2, 0),IFERROR(INDEX(Pivot!$B$11:$EU$35, _xlpm.r, _xlpm.c), 0))</x:f>
        <x:v>#N/A</x:v>
      </x:c>
      <x:c r="AH25" s="790">
        <x:f t="shared" si="5"/>
        <x:v>0</x:v>
      </x:c>
      <x:c r="AI25" s="810" t="n">
        <x:f>IF(AH25&gt;0,MAX($AI$12:AI24)+1,0)</x:f>
        <x:v>0</x:v>
      </x:c>
      <x:c r="AJ25" s="383"/>
      <x:c r="AK25" s="383"/>
      <x:c r="AL25" s="383"/>
      <x:c r="AM25" s="383"/>
      <x:c r="AN25" s="383"/>
      <x:c r="AO25" s="383"/>
      <x:c r="AP25" s="383"/>
      <x:c r="AQ25" s="383"/>
      <x:c r="AR25" s="383"/>
      <x:c r="AS25" s="383"/>
      <x:c r="AT25" s="383"/>
      <x:c r="AU25" s="383"/>
      <x:c r="AV25" s="383"/>
      <x:c r="AW25" s="383"/>
      <x:c r="AX25" s="383"/>
      <x:c r="AY25" s="383"/>
      <x:c r="AZ25" s="383"/>
      <x:c r="BA25" s="383"/>
      <x:c r="BB25" s="383"/>
      <x:c r="BC25" s="383"/>
      <x:c r="BD25" s="383"/>
      <x:c r="BE25" s="383"/>
      <x:c r="BF25" s="383"/>
      <x:c r="BG25" s="383"/>
      <x:c r="BH25" s="383"/>
      <x:c r="BI25" s="383"/>
      <x:c r="BJ25" s="383"/>
      <x:c r="BK25" s="383"/>
      <x:c r="BL25" s="383"/>
      <x:c r="BM25" s="383"/>
      <x:c r="BN25" s="383"/>
      <x:c r="BO25" s="383"/>
      <x:c r="BP25" s="383"/>
      <x:c r="BQ25" s="383"/>
      <x:c r="BR25" s="383"/>
      <x:c r="BS25" s="383"/>
      <x:c r="BT25" s="383"/>
      <x:c r="BU25" s="383"/>
      <x:c r="BV25" s="383"/>
      <x:c r="BW25" s="383"/>
      <x:c r="BX25" s="383"/>
      <x:c r="BY25" s="383"/>
      <x:c r="BZ25" s="383"/>
      <x:c r="CA25" s="383"/>
      <x:c r="CB25" s="383"/>
      <x:c r="CC25" s="383"/>
      <x:c r="CD25" s="383"/>
      <x:c r="CE25" s="383"/>
      <x:c r="CF25" s="383"/>
      <x:c r="CG25" s="383"/>
      <x:c r="CH25" s="383"/>
      <x:c r="CI25" s="383"/>
      <x:c r="CJ25" s="383"/>
      <x:c r="CK25" s="383"/>
      <x:c r="CL25" s="383"/>
      <x:c r="CM25" s="383"/>
    </x:row>
    <x:row r="26" ht="22" customHeight="1">
      <x:c r="A26" s="479"/>
      <x:c r="B26" s="415" t="str">
        <x:f t="shared" si="1"/>
      </x:c>
      <x:c r="C26" s="891" t="str">
        <x:f t="shared" si="0"/>
      </x:c>
      <x:c r="D26" s="891"/>
      <x:c r="E26" s="415">
        <x:v>15</x:v>
      </x:c>
      <x:c r="F26" s="889"/>
      <x:c r="G26" s="415"/>
      <x:c r="H26" s="893" t="s">
        <x:v>37</x:v>
      </x:c>
      <x:c r="I26" s="894" t="s">
        <x:v>247</x:v>
      </x:c>
      <x:c r="J26" s="895" t="n" cm="1">
        <x:f t="array" ref="J26">IFERROR(_xlfn.XLOOKUP($I$7,Pivot!$B$2:$EU$2,_xlfn.XLOOKUP($I26,Pivot!$A$11:$A$35,Pivot!$B$11:$EU$35),0,0),0)</x:f>
        <x:v>93904700</x:v>
      </x:c>
      <x:c r="K26" s="895"/>
      <x:c r="L26" s="895"/>
      <x:c r="M26" s="895" t="n">
        <x:f>'LM Kassa'!C24</x:f>
        <x:v>11364800</x:v>
      </x:c>
      <x:c r="N26" s="895"/>
      <x:c r="O26" s="896"/>
      <x:c r="P26" s="415"/>
      <x:c r="Q26" s="415"/>
      <x:c r="R26" s="415"/>
      <x:c r="S26" s="897" t="str">
        <x:f t="shared" si="2"/>
      </x:c>
      <x:c r="T26" s="897"/>
      <x:c r="U26" s="902" t="str">
        <x:f t="shared" si="3"/>
      </x:c>
      <x:c r="V26" s="902"/>
      <x:c r="W26" s="899">
        <x:v>15</x:v>
      </x:c>
      <x:c r="X26" s="624"/>
      <x:c r="Y26" s="897" t="s">
        <x:v>37</x:v>
      </x:c>
      <x:c r="Z26" s="900" t="s">
        <x:v>247</x:v>
      </x:c>
      <x:c r="AA26" s="899" t="str">
        <x:f>_xlfn.LET(_xlpm.r, MATCH($I26, Pivot!$A$11:$A$35, 0),_xlpm.c, MATCH($C$7, Pivot!$B$2:$EU$2, 0),IFERROR(INDEX(Pivot!$B$11:$EU$35, _xlpm.r, _xlpm.c), 0))</x:f>
      </x:c>
      <x:c r="AB26" s="624" t="str">
        <x:f>_xlfn.LET(_xlpm.r, MATCH($I26, Pivot!$A$11:$A$35, 0),_xlpm.c, MATCH($C$6, Pivot!$B$2:$EU$2, 0),IFERROR(INDEX(Pivot!$B$11:$EU$35, _xlpm.r, _xlpm.c), 0))</x:f>
      </x:c>
      <x:c r="AC26" s="624">
        <x:f t="shared" si="4"/>
        <x:v>0</x:v>
      </x:c>
      <x:c r="AD26" s="624" t="n">
        <x:f>IF(AC26&gt;0,MAX($AD$12:AD25)+1,0)</x:f>
        <x:v>0</x:v>
      </x:c>
      <x:c r="AE26" s="624"/>
      <x:c r="AF26" s="899" t="str">
        <x:f>_xlfn.LET(_xlpm.r, MATCH($I26, Pivot!$A$11:$A$35, 0),_xlpm.c, MATCH($S$7, Pivot!$B$2:$EU$2, 0),IFERROR(INDEX(Pivot!$B$11:$EU$35, _xlpm.r, _xlpm.c), 0))</x:f>
      </x:c>
      <x:c r="AG26" s="899" t="e">
        <x:f>_xlfn.LET(_xlpm.r, MATCH($I26, Pivot!$A$11:$A$35, 0),_xlpm.c, MATCH($S$6, Pivot!$B$2:$EU$2, 0),IFERROR(INDEX(Pivot!$B$11:$EU$35, _xlpm.r, _xlpm.c), 0))</x:f>
        <x:v>#N/A</x:v>
      </x:c>
      <x:c r="AH26" s="899">
        <x:f t="shared" si="5"/>
        <x:v>0</x:v>
      </x:c>
      <x:c r="AI26" s="901" t="n">
        <x:f>IF(AH26&gt;0,MAX($AI$12:AI25)+1,0)</x:f>
        <x:v>0</x:v>
      </x:c>
      <x:c r="AJ26" s="415"/>
      <x:c r="AK26" s="415"/>
      <x:c r="AL26" s="415"/>
      <x:c r="AM26" s="415"/>
      <x:c r="AN26" s="415"/>
      <x:c r="AO26" s="415"/>
      <x:c r="AP26" s="415"/>
      <x:c r="AQ26" s="415"/>
      <x:c r="AR26" s="415"/>
      <x:c r="AS26" s="415"/>
      <x:c r="AT26" s="415"/>
      <x:c r="AU26" s="415"/>
      <x:c r="AV26" s="415"/>
      <x:c r="AW26" s="415"/>
      <x:c r="AX26" s="415"/>
      <x:c r="AY26" s="415"/>
      <x:c r="AZ26" s="415"/>
      <x:c r="BA26" s="415"/>
      <x:c r="BB26" s="415"/>
      <x:c r="BC26" s="415"/>
      <x:c r="BD26" s="415"/>
      <x:c r="BE26" s="415"/>
      <x:c r="BF26" s="415"/>
      <x:c r="BG26" s="415"/>
      <x:c r="BH26" s="415"/>
      <x:c r="BI26" s="415"/>
      <x:c r="BJ26" s="415"/>
      <x:c r="BK26" s="415"/>
      <x:c r="BL26" s="415"/>
      <x:c r="BM26" s="415"/>
      <x:c r="BN26" s="415"/>
      <x:c r="BO26" s="415"/>
      <x:c r="BP26" s="415"/>
      <x:c r="BQ26" s="415"/>
      <x:c r="BR26" s="415"/>
      <x:c r="BS26" s="415"/>
      <x:c r="BT26" s="415"/>
      <x:c r="BU26" s="415"/>
      <x:c r="BV26" s="415"/>
      <x:c r="BW26" s="415"/>
      <x:c r="BX26" s="415"/>
      <x:c r="BY26" s="415"/>
      <x:c r="BZ26" s="415"/>
      <x:c r="CA26" s="415"/>
      <x:c r="CB26" s="415"/>
      <x:c r="CC26" s="415"/>
      <x:c r="CD26" s="415"/>
      <x:c r="CE26" s="415"/>
      <x:c r="CF26" s="415"/>
      <x:c r="CG26" s="415"/>
      <x:c r="CH26" s="415"/>
      <x:c r="CI26" s="415"/>
      <x:c r="CJ26" s="415"/>
      <x:c r="CK26" s="415"/>
      <x:c r="CL26" s="415"/>
      <x:c r="CM26" s="415"/>
    </x:row>
    <x:row r="27" ht="22" customHeight="1">
      <x:c r="A27" s="480"/>
      <x:c r="B27" s="383" t="str">
        <x:f t="shared" si="1"/>
      </x:c>
      <x:c r="C27" s="802" t="str">
        <x:f t="shared" si="0"/>
      </x:c>
      <x:c r="D27" s="802"/>
      <x:c r="E27" s="383">
        <x:v>16</x:v>
      </x:c>
      <x:c r="F27" s="793"/>
      <x:c r="G27" s="383"/>
      <x:c r="H27" s="804" t="s">
        <x:v>45</x:v>
      </x:c>
      <x:c r="I27" s="805" t="s">
        <x:v>172</x:v>
      </x:c>
      <x:c r="J27" s="806" t="n" cm="1">
        <x:f t="array" ref="J27">IFERROR(_xlfn.XLOOKUP($I$7,Pivot!$B$2:$EU$2,_xlfn.XLOOKUP($I27,Pivot!$A$11:$A$35,Pivot!$B$11:$EU$35),0,0),0)</x:f>
        <x:v>16726700</x:v>
      </x:c>
      <x:c r="K27" s="806"/>
      <x:c r="L27" s="806"/>
      <x:c r="M27" s="806" t="n">
        <x:f>'LM Kassa'!C21</x:f>
        <x:v>725200</x:v>
      </x:c>
      <x:c r="N27" s="806"/>
      <x:c r="O27" s="807"/>
      <x:c r="P27" s="383"/>
      <x:c r="Q27" s="383"/>
      <x:c r="R27" s="383"/>
      <x:c r="S27" s="808" t="str">
        <x:f t="shared" si="2"/>
      </x:c>
      <x:c r="T27" s="808"/>
      <x:c r="U27" s="811" t="str">
        <x:f t="shared" si="3"/>
      </x:c>
      <x:c r="V27" s="811"/>
      <x:c r="W27" s="786">
        <x:v>16</x:v>
      </x:c>
      <x:c r="X27" s="574"/>
      <x:c r="Y27" s="808" t="s">
        <x:v>45</x:v>
      </x:c>
      <x:c r="Z27" s="809" t="s">
        <x:v>172</x:v>
      </x:c>
      <x:c r="AA27" s="790" t="str">
        <x:f>_xlfn.LET(_xlpm.r, MATCH($I27, Pivot!$A$11:$A$35, 0),_xlpm.c, MATCH($C$7, Pivot!$B$2:$EU$2, 0),IFERROR(INDEX(Pivot!$B$11:$EU$35, _xlpm.r, _xlpm.c), 0))</x:f>
      </x:c>
      <x:c r="AB27" s="574" t="str">
        <x:f>_xlfn.LET(_xlpm.r, MATCH($I27, Pivot!$A$11:$A$35, 0),_xlpm.c, MATCH($C$6, Pivot!$B$2:$EU$2, 0),IFERROR(INDEX(Pivot!$B$11:$EU$35, _xlpm.r, _xlpm.c), 0))</x:f>
      </x:c>
      <x:c r="AC27" s="574">
        <x:f t="shared" si="4"/>
        <x:v>0</x:v>
      </x:c>
      <x:c r="AD27" s="574" t="n">
        <x:f>IF(AC27&gt;0,MAX($AD$12:AD26)+1,0)</x:f>
        <x:v>0</x:v>
      </x:c>
      <x:c r="AE27" s="574"/>
      <x:c r="AF27" s="790" t="str">
        <x:f>_xlfn.LET(_xlpm.r, MATCH($I27, Pivot!$A$11:$A$35, 0),_xlpm.c, MATCH($S$7, Pivot!$B$2:$EU$2, 0),IFERROR(INDEX(Pivot!$B$11:$EU$35, _xlpm.r, _xlpm.c), 0))</x:f>
      </x:c>
      <x:c r="AG27" s="790" t="e">
        <x:f>_xlfn.LET(_xlpm.r, MATCH($I27, Pivot!$A$11:$A$35, 0),_xlpm.c, MATCH($S$6, Pivot!$B$2:$EU$2, 0),IFERROR(INDEX(Pivot!$B$11:$EU$35, _xlpm.r, _xlpm.c), 0))</x:f>
        <x:v>#N/A</x:v>
      </x:c>
      <x:c r="AH27" s="790">
        <x:f t="shared" si="5"/>
        <x:v>0</x:v>
      </x:c>
      <x:c r="AI27" s="810" t="n">
        <x:f>IF(AH27&gt;0,MAX($AI$12:AI26)+1,0)</x:f>
        <x:v>0</x:v>
      </x:c>
      <x:c r="AJ27" s="383"/>
      <x:c r="AK27" s="383"/>
      <x:c r="AL27" s="383"/>
      <x:c r="AM27" s="383"/>
      <x:c r="AN27" s="383"/>
      <x:c r="AO27" s="383"/>
      <x:c r="AP27" s="383"/>
      <x:c r="AQ27" s="383"/>
      <x:c r="AR27" s="383"/>
      <x:c r="AS27" s="383"/>
      <x:c r="AT27" s="383"/>
      <x:c r="AU27" s="383"/>
      <x:c r="AV27" s="383"/>
      <x:c r="AW27" s="383"/>
      <x:c r="AX27" s="383"/>
      <x:c r="AY27" s="383"/>
      <x:c r="AZ27" s="383"/>
      <x:c r="BA27" s="383"/>
      <x:c r="BB27" s="383"/>
      <x:c r="BC27" s="383"/>
      <x:c r="BD27" s="383"/>
      <x:c r="BE27" s="383"/>
      <x:c r="BF27" s="383"/>
      <x:c r="BG27" s="383"/>
      <x:c r="BH27" s="383"/>
      <x:c r="BI27" s="383"/>
      <x:c r="BJ27" s="383"/>
      <x:c r="BK27" s="383"/>
      <x:c r="BL27" s="383"/>
      <x:c r="BM27" s="383"/>
      <x:c r="BN27" s="383"/>
      <x:c r="BO27" s="383"/>
      <x:c r="BP27" s="383"/>
      <x:c r="BQ27" s="383"/>
      <x:c r="BR27" s="383"/>
      <x:c r="BS27" s="383"/>
      <x:c r="BT27" s="383"/>
      <x:c r="BU27" s="383"/>
      <x:c r="BV27" s="383"/>
      <x:c r="BW27" s="383"/>
      <x:c r="BX27" s="383"/>
      <x:c r="BY27" s="383"/>
      <x:c r="BZ27" s="383"/>
      <x:c r="CA27" s="383"/>
      <x:c r="CB27" s="383"/>
      <x:c r="CC27" s="383"/>
      <x:c r="CD27" s="383"/>
      <x:c r="CE27" s="383"/>
      <x:c r="CF27" s="383"/>
      <x:c r="CG27" s="383"/>
      <x:c r="CH27" s="383"/>
      <x:c r="CI27" s="383"/>
      <x:c r="CJ27" s="383"/>
      <x:c r="CK27" s="383"/>
      <x:c r="CL27" s="383"/>
      <x:c r="CM27" s="383"/>
    </x:row>
    <x:row r="28" ht="22" customHeight="1">
      <x:c r="A28" s="479"/>
      <x:c r="B28" s="415" t="str">
        <x:f t="shared" si="1"/>
      </x:c>
      <x:c r="C28" s="891" t="str">
        <x:f t="shared" si="0"/>
      </x:c>
      <x:c r="D28" s="891"/>
      <x:c r="E28" s="415">
        <x:v>17</x:v>
      </x:c>
      <x:c r="F28" s="889"/>
      <x:c r="G28" s="415"/>
      <x:c r="H28" s="893" t="s">
        <x:v>47</x:v>
      </x:c>
      <x:c r="I28" s="894" t="s">
        <x:v>173</x:v>
      </x:c>
      <x:c r="J28" s="895" t="n" cm="1">
        <x:f t="array" ref="J28">IFERROR(_xlfn.XLOOKUP($I$7,Pivot!$B$2:$EU$2,_xlfn.XLOOKUP($I28,Pivot!$A$11:$A$35,Pivot!$B$11:$EU$35),0,0),0)</x:f>
        <x:v>111156400</x:v>
      </x:c>
      <x:c r="K28" s="895"/>
      <x:c r="L28" s="895"/>
      <x:c r="M28" s="895" t="n">
        <x:f>'LM Kassa'!C19</x:f>
        <x:v>336200</x:v>
      </x:c>
      <x:c r="N28" s="895"/>
      <x:c r="O28" s="896"/>
      <x:c r="P28" s="415"/>
      <x:c r="Q28" s="415"/>
      <x:c r="R28" s="415"/>
      <x:c r="S28" s="897" t="str">
        <x:f t="shared" si="2"/>
      </x:c>
      <x:c r="T28" s="897"/>
      <x:c r="U28" s="902" t="str">
        <x:f t="shared" si="3"/>
      </x:c>
      <x:c r="V28" s="902"/>
      <x:c r="W28" s="899">
        <x:v>17</x:v>
      </x:c>
      <x:c r="X28" s="624"/>
      <x:c r="Y28" s="897" t="s">
        <x:v>47</x:v>
      </x:c>
      <x:c r="Z28" s="900" t="s">
        <x:v>173</x:v>
      </x:c>
      <x:c r="AA28" s="899" t="str">
        <x:f>_xlfn.LET(_xlpm.r, MATCH($I28, Pivot!$A$11:$A$35, 0),_xlpm.c, MATCH($C$7, Pivot!$B$2:$EU$2, 0),IFERROR(INDEX(Pivot!$B$11:$EU$35, _xlpm.r, _xlpm.c), 0))</x:f>
      </x:c>
      <x:c r="AB28" s="624" t="str">
        <x:f>_xlfn.LET(_xlpm.r, MATCH($I28, Pivot!$A$11:$A$35, 0),_xlpm.c, MATCH($C$6, Pivot!$B$2:$EU$2, 0),IFERROR(INDEX(Pivot!$B$11:$EU$35, _xlpm.r, _xlpm.c), 0))</x:f>
      </x:c>
      <x:c r="AC28" s="624">
        <x:f t="shared" si="4"/>
        <x:v>0</x:v>
      </x:c>
      <x:c r="AD28" s="624" t="n">
        <x:f>IF(AC28&gt;0,MAX($AD$12:AD27)+1,0)</x:f>
        <x:v>0</x:v>
      </x:c>
      <x:c r="AE28" s="624"/>
      <x:c r="AF28" s="899" t="str">
        <x:f>_xlfn.LET(_xlpm.r, MATCH($I28, Pivot!$A$11:$A$35, 0),_xlpm.c, MATCH($S$7, Pivot!$B$2:$EU$2, 0),IFERROR(INDEX(Pivot!$B$11:$EU$35, _xlpm.r, _xlpm.c), 0))</x:f>
      </x:c>
      <x:c r="AG28" s="899" t="e">
        <x:f>_xlfn.LET(_xlpm.r, MATCH($I28, Pivot!$A$11:$A$35, 0),_xlpm.c, MATCH($S$6, Pivot!$B$2:$EU$2, 0),IFERROR(INDEX(Pivot!$B$11:$EU$35, _xlpm.r, _xlpm.c), 0))</x:f>
        <x:v>#N/A</x:v>
      </x:c>
      <x:c r="AH28" s="899">
        <x:f t="shared" si="5"/>
        <x:v>0</x:v>
      </x:c>
      <x:c r="AI28" s="901" t="n">
        <x:f>IF(AH28&gt;0,MAX($AI$12:AI27)+1,0)</x:f>
        <x:v>0</x:v>
      </x:c>
      <x:c r="AJ28" s="415"/>
      <x:c r="AK28" s="415"/>
      <x:c r="AL28" s="415"/>
      <x:c r="AM28" s="415"/>
      <x:c r="AN28" s="415"/>
      <x:c r="AO28" s="415"/>
      <x:c r="AP28" s="415"/>
      <x:c r="AQ28" s="415"/>
      <x:c r="AR28" s="415"/>
      <x:c r="AS28" s="415"/>
      <x:c r="AT28" s="415"/>
      <x:c r="AU28" s="415"/>
      <x:c r="AV28" s="415"/>
      <x:c r="AW28" s="415"/>
      <x:c r="AX28" s="415"/>
      <x:c r="AY28" s="415"/>
      <x:c r="AZ28" s="415"/>
      <x:c r="BA28" s="415"/>
      <x:c r="BB28" s="415"/>
      <x:c r="BC28" s="415"/>
      <x:c r="BD28" s="415"/>
      <x:c r="BE28" s="415"/>
      <x:c r="BF28" s="415"/>
      <x:c r="BG28" s="415"/>
      <x:c r="BH28" s="415"/>
      <x:c r="BI28" s="415"/>
      <x:c r="BJ28" s="415"/>
      <x:c r="BK28" s="415"/>
      <x:c r="BL28" s="415"/>
      <x:c r="BM28" s="415"/>
      <x:c r="BN28" s="415"/>
      <x:c r="BO28" s="415"/>
      <x:c r="BP28" s="415"/>
      <x:c r="BQ28" s="415"/>
      <x:c r="BR28" s="415"/>
      <x:c r="BS28" s="415"/>
      <x:c r="BT28" s="415"/>
      <x:c r="BU28" s="415"/>
      <x:c r="BV28" s="415"/>
      <x:c r="BW28" s="415"/>
      <x:c r="BX28" s="415"/>
      <x:c r="BY28" s="415"/>
      <x:c r="BZ28" s="415"/>
      <x:c r="CA28" s="415"/>
      <x:c r="CB28" s="415"/>
      <x:c r="CC28" s="415"/>
      <x:c r="CD28" s="415"/>
      <x:c r="CE28" s="415"/>
      <x:c r="CF28" s="415"/>
      <x:c r="CG28" s="415"/>
      <x:c r="CH28" s="415"/>
      <x:c r="CI28" s="415"/>
      <x:c r="CJ28" s="415"/>
      <x:c r="CK28" s="415"/>
      <x:c r="CL28" s="415"/>
      <x:c r="CM28" s="415"/>
    </x:row>
    <x:row r="29" ht="22" customHeight="1">
      <x:c r="A29" s="480"/>
      <x:c r="B29" s="383" t="str">
        <x:f t="shared" si="1"/>
      </x:c>
      <x:c r="C29" s="802" t="str">
        <x:f t="shared" si="0"/>
      </x:c>
      <x:c r="D29" s="802"/>
      <x:c r="E29" s="383">
        <x:v>18</x:v>
      </x:c>
      <x:c r="F29" s="793"/>
      <x:c r="G29" s="383"/>
      <x:c r="H29" s="804" t="s">
        <x:v>21</x:v>
      </x:c>
      <x:c r="I29" s="805" t="s">
        <x:v>159</x:v>
      </x:c>
      <x:c r="J29" s="806" t="n" cm="1">
        <x:f t="array" ref="J29">IFERROR(_xlfn.XLOOKUP($I$7,Pivot!$B$2:$EU$2,_xlfn.XLOOKUP($I29,Pivot!$A$11:$A$35,Pivot!$B$11:$EU$35),0,0),0)</x:f>
        <x:v>63312700</x:v>
      </x:c>
      <x:c r="K29" s="806"/>
      <x:c r="L29" s="806"/>
      <x:c r="M29" s="806" t="n">
        <x:f>'LM Kassa'!C7</x:f>
        <x:v>4136754</x:v>
      </x:c>
      <x:c r="N29" s="806"/>
      <x:c r="O29" s="807"/>
      <x:c r="P29" s="383"/>
      <x:c r="Q29" s="383"/>
      <x:c r="R29" s="383"/>
      <x:c r="S29" s="808" t="str">
        <x:f t="shared" si="2"/>
      </x:c>
      <x:c r="T29" s="808"/>
      <x:c r="U29" s="811" t="str">
        <x:f t="shared" si="3"/>
      </x:c>
      <x:c r="V29" s="811"/>
      <x:c r="W29" s="786">
        <x:v>18</x:v>
      </x:c>
      <x:c r="X29" s="574"/>
      <x:c r="Y29" s="808" t="s">
        <x:v>21</x:v>
      </x:c>
      <x:c r="Z29" s="809" t="s">
        <x:v>159</x:v>
      </x:c>
      <x:c r="AA29" s="790" t="str">
        <x:f>_xlfn.LET(_xlpm.r, MATCH($I29, Pivot!$A$11:$A$35, 0),_xlpm.c, MATCH($C$7, Pivot!$B$2:$EU$2, 0),IFERROR(INDEX(Pivot!$B$11:$EU$35, _xlpm.r, _xlpm.c), 0))</x:f>
      </x:c>
      <x:c r="AB29" s="574" t="str">
        <x:f>_xlfn.LET(_xlpm.r, MATCH($I29, Pivot!$A$11:$A$35, 0),_xlpm.c, MATCH($C$6, Pivot!$B$2:$EU$2, 0),IFERROR(INDEX(Pivot!$B$11:$EU$35, _xlpm.r, _xlpm.c), 0))</x:f>
      </x:c>
      <x:c r="AC29" s="574">
        <x:f t="shared" si="4"/>
        <x:v>0</x:v>
      </x:c>
      <x:c r="AD29" s="574" t="n">
        <x:f>IF(AC29&gt;0,MAX($AD$12:AD28)+1,0)</x:f>
        <x:v>0</x:v>
      </x:c>
      <x:c r="AE29" s="574"/>
      <x:c r="AF29" s="790" t="str">
        <x:f>_xlfn.LET(_xlpm.r, MATCH($I29, Pivot!$A$11:$A$35, 0),_xlpm.c, MATCH($S$7, Pivot!$B$2:$EU$2, 0),IFERROR(INDEX(Pivot!$B$11:$EU$35, _xlpm.r, _xlpm.c), 0))</x:f>
      </x:c>
      <x:c r="AG29" s="790" t="e">
        <x:f>_xlfn.LET(_xlpm.r, MATCH($I29, Pivot!$A$11:$A$35, 0),_xlpm.c, MATCH($S$6, Pivot!$B$2:$EU$2, 0),IFERROR(INDEX(Pivot!$B$11:$EU$35, _xlpm.r, _xlpm.c), 0))</x:f>
        <x:v>#N/A</x:v>
      </x:c>
      <x:c r="AH29" s="790">
        <x:f t="shared" si="5"/>
        <x:v>0</x:v>
      </x:c>
      <x:c r="AI29" s="810" t="n">
        <x:f>IF(AH29&gt;0,MAX($AI$12:AI28)+1,0)</x:f>
        <x:v>0</x:v>
      </x:c>
      <x:c r="AJ29" s="383"/>
      <x:c r="AK29" s="383"/>
      <x:c r="AL29" s="383"/>
      <x:c r="AM29" s="383"/>
      <x:c r="AN29" s="383"/>
      <x:c r="AO29" s="383"/>
      <x:c r="AP29" s="383"/>
      <x:c r="AQ29" s="383"/>
      <x:c r="AR29" s="383"/>
      <x:c r="AS29" s="383"/>
      <x:c r="AT29" s="383"/>
      <x:c r="AU29" s="383"/>
      <x:c r="AV29" s="383"/>
      <x:c r="AW29" s="383"/>
      <x:c r="AX29" s="383"/>
      <x:c r="AY29" s="383"/>
      <x:c r="AZ29" s="383"/>
      <x:c r="BA29" s="383"/>
      <x:c r="BB29" s="383"/>
      <x:c r="BC29" s="383"/>
      <x:c r="BD29" s="383"/>
      <x:c r="BE29" s="383"/>
      <x:c r="BF29" s="383"/>
      <x:c r="BG29" s="383"/>
      <x:c r="BH29" s="383"/>
      <x:c r="BI29" s="383"/>
      <x:c r="BJ29" s="383"/>
      <x:c r="BK29" s="383"/>
      <x:c r="BL29" s="383"/>
      <x:c r="BM29" s="383"/>
      <x:c r="BN29" s="383"/>
      <x:c r="BO29" s="383"/>
      <x:c r="BP29" s="383"/>
      <x:c r="BQ29" s="383"/>
      <x:c r="BR29" s="383"/>
      <x:c r="BS29" s="383"/>
      <x:c r="BT29" s="383"/>
      <x:c r="BU29" s="383"/>
      <x:c r="BV29" s="383"/>
      <x:c r="BW29" s="383"/>
      <x:c r="BX29" s="383"/>
      <x:c r="BY29" s="383"/>
      <x:c r="BZ29" s="383"/>
      <x:c r="CA29" s="383"/>
      <x:c r="CB29" s="383"/>
      <x:c r="CC29" s="383"/>
      <x:c r="CD29" s="383"/>
      <x:c r="CE29" s="383"/>
      <x:c r="CF29" s="383"/>
      <x:c r="CG29" s="383"/>
      <x:c r="CH29" s="383"/>
      <x:c r="CI29" s="383"/>
      <x:c r="CJ29" s="383"/>
      <x:c r="CK29" s="383"/>
      <x:c r="CL29" s="383"/>
      <x:c r="CM29" s="383"/>
    </x:row>
    <x:row r="30" ht="22" customHeight="1">
      <x:c r="A30" s="479"/>
      <x:c r="B30" s="415" t="str">
        <x:f t="shared" si="1"/>
      </x:c>
      <x:c r="C30" s="891" t="str">
        <x:f t="shared" si="0"/>
      </x:c>
      <x:c r="D30" s="891"/>
      <x:c r="E30" s="415">
        <x:v>19</x:v>
      </x:c>
      <x:c r="F30" s="889"/>
      <x:c r="G30" s="415"/>
      <x:c r="H30" s="893" t="s">
        <x:v>49</x:v>
      </x:c>
      <x:c r="I30" s="894" t="s">
        <x:v>174</x:v>
      </x:c>
      <x:c r="J30" s="895" t="n" cm="1">
        <x:f t="array" ref="J30">IFERROR(_xlfn.XLOOKUP($I$7,Pivot!$B$2:$EU$2,_xlfn.XLOOKUP($I30,Pivot!$A$11:$A$35,Pivot!$B$11:$EU$35),0,0),0)</x:f>
        <x:v>157424900</x:v>
      </x:c>
      <x:c r="K30" s="895"/>
      <x:c r="L30" s="895"/>
      <x:c r="M30" s="895" t="n">
        <x:f>'LM Kassa'!C25</x:f>
        <x:v>2185600</x:v>
      </x:c>
      <x:c r="N30" s="895"/>
      <x:c r="O30" s="896"/>
      <x:c r="P30" s="415"/>
      <x:c r="Q30" s="415"/>
      <x:c r="R30" s="415"/>
      <x:c r="S30" s="897" t="str">
        <x:f t="shared" si="2"/>
      </x:c>
      <x:c r="T30" s="897"/>
      <x:c r="U30" s="902" t="str">
        <x:f t="shared" si="3"/>
      </x:c>
      <x:c r="V30" s="902"/>
      <x:c r="W30" s="899">
        <x:v>19</x:v>
      </x:c>
      <x:c r="X30" s="624"/>
      <x:c r="Y30" s="897" t="s">
        <x:v>49</x:v>
      </x:c>
      <x:c r="Z30" s="900" t="s">
        <x:v>174</x:v>
      </x:c>
      <x:c r="AA30" s="899" t="n">
        <x:f>_xlfn.LET(_xlpm.r, MATCH($I30, Pivot!$A$11:$A$35, 0),_xlpm.c, MATCH($C$7, Pivot!$B$2:$EU$2, 0),IFERROR(INDEX(Pivot!$B$11:$EU$35, _xlpm.r, _xlpm.c), 0))</x:f>
        <x:v>14000</x:v>
      </x:c>
      <x:c r="AB30" s="624" t="str">
        <x:f>_xlfn.LET(_xlpm.r, MATCH($I30, Pivot!$A$11:$A$35, 0),_xlpm.c, MATCH($C$6, Pivot!$B$2:$EU$2, 0),IFERROR(INDEX(Pivot!$B$11:$EU$35, _xlpm.r, _xlpm.c), 0))</x:f>
      </x:c>
      <x:c r="AC30" s="624">
        <x:f t="shared" si="4"/>
        <x:v>14000</x:v>
      </x:c>
      <x:c r="AD30" s="624" t="n">
        <x:f>IF(AC30&gt;0,MAX($AD$12:AD29)+1,0)</x:f>
        <x:v>11</x:v>
      </x:c>
      <x:c r="AE30" s="624"/>
      <x:c r="AF30" s="899" t="n">
        <x:f>_xlfn.LET(_xlpm.r, MATCH($I30, Pivot!$A$11:$A$35, 0),_xlpm.c, MATCH($S$7, Pivot!$B$2:$EU$2, 0),IFERROR(INDEX(Pivot!$B$11:$EU$35, _xlpm.r, _xlpm.c), 0))</x:f>
        <x:v>330000</x:v>
      </x:c>
      <x:c r="AG30" s="899" t="e">
        <x:f>_xlfn.LET(_xlpm.r, MATCH($I30, Pivot!$A$11:$A$35, 0),_xlpm.c, MATCH($S$6, Pivot!$B$2:$EU$2, 0),IFERROR(INDEX(Pivot!$B$11:$EU$35, _xlpm.r, _xlpm.c), 0))</x:f>
        <x:v>#N/A</x:v>
      </x:c>
      <x:c r="AH30" s="899">
        <x:f t="shared" si="5"/>
        <x:v>330000</x:v>
      </x:c>
      <x:c r="AI30" s="901" t="e">
        <x:f>IF(AH30&gt;0,MAX($AI$12:AI29)+1,0)</x:f>
        <x:v>#N/A</x:v>
      </x:c>
      <x:c r="AJ30" s="415"/>
      <x:c r="AK30" s="415"/>
      <x:c r="AL30" s="415"/>
      <x:c r="AM30" s="415"/>
      <x:c r="AN30" s="415"/>
      <x:c r="AO30" s="415"/>
      <x:c r="AP30" s="415"/>
      <x:c r="AQ30" s="415"/>
      <x:c r="AR30" s="415"/>
      <x:c r="AS30" s="415"/>
      <x:c r="AT30" s="415"/>
      <x:c r="AU30" s="415"/>
      <x:c r="AV30" s="415"/>
      <x:c r="AW30" s="415"/>
      <x:c r="AX30" s="415"/>
      <x:c r="AY30" s="415"/>
      <x:c r="AZ30" s="415"/>
      <x:c r="BA30" s="415"/>
      <x:c r="BB30" s="415"/>
      <x:c r="BC30" s="415"/>
      <x:c r="BD30" s="415"/>
      <x:c r="BE30" s="415"/>
      <x:c r="BF30" s="415"/>
      <x:c r="BG30" s="415"/>
      <x:c r="BH30" s="415"/>
      <x:c r="BI30" s="415"/>
      <x:c r="BJ30" s="415"/>
      <x:c r="BK30" s="415"/>
      <x:c r="BL30" s="415"/>
      <x:c r="BM30" s="415"/>
      <x:c r="BN30" s="415"/>
      <x:c r="BO30" s="415"/>
      <x:c r="BP30" s="415"/>
      <x:c r="BQ30" s="415"/>
      <x:c r="BR30" s="415"/>
      <x:c r="BS30" s="415"/>
      <x:c r="BT30" s="415"/>
      <x:c r="BU30" s="415"/>
      <x:c r="BV30" s="415"/>
      <x:c r="BW30" s="415"/>
      <x:c r="BX30" s="415"/>
      <x:c r="BY30" s="415"/>
      <x:c r="BZ30" s="415"/>
      <x:c r="CA30" s="415"/>
      <x:c r="CB30" s="415"/>
      <x:c r="CC30" s="415"/>
      <x:c r="CD30" s="415"/>
      <x:c r="CE30" s="415"/>
      <x:c r="CF30" s="415"/>
      <x:c r="CG30" s="415"/>
      <x:c r="CH30" s="415"/>
      <x:c r="CI30" s="415"/>
      <x:c r="CJ30" s="415"/>
      <x:c r="CK30" s="415"/>
      <x:c r="CL30" s="415"/>
      <x:c r="CM30" s="415"/>
    </x:row>
    <x:row r="31" ht="22" customHeight="1">
      <x:c r="A31" s="480"/>
      <x:c r="B31" s="383" t="str">
        <x:f t="shared" si="1"/>
      </x:c>
      <x:c r="C31" s="812" t="str">
        <x:f t="shared" si="0"/>
      </x:c>
      <x:c r="D31" s="812"/>
      <x:c r="E31" s="383">
        <x:v>20</x:v>
      </x:c>
      <x:c r="F31" s="793"/>
      <x:c r="G31" s="383"/>
      <x:c r="H31" s="804" t="s">
        <x:v>33</x:v>
      </x:c>
      <x:c r="I31" s="805" t="s">
        <x:v>166</x:v>
      </x:c>
      <x:c r="J31" s="806" t="n" cm="1">
        <x:f t="array" ref="J31">IFERROR(_xlfn.XLOOKUP($I$7,Pivot!$B$2:$EU$2,_xlfn.XLOOKUP($I31,Pivot!$A$11:$A$35,Pivot!$B$11:$EU$35),0,0),0)</x:f>
        <x:v>73430500</x:v>
      </x:c>
      <x:c r="K31" s="806"/>
      <x:c r="L31" s="806"/>
      <x:c r="M31" s="806" t="n">
        <x:f>'LM Kassa'!C18</x:f>
        <x:v>4246600</x:v>
      </x:c>
      <x:c r="N31" s="806"/>
      <x:c r="O31" s="807"/>
      <x:c r="P31" s="383"/>
      <x:c r="Q31" s="383"/>
      <x:c r="R31" s="383"/>
      <x:c r="S31" s="808" t="str">
        <x:f t="shared" si="2"/>
      </x:c>
      <x:c r="T31" s="808"/>
      <x:c r="U31" s="811" t="str">
        <x:f t="shared" si="3"/>
      </x:c>
      <x:c r="V31" s="811"/>
      <x:c r="W31" s="574"/>
      <x:c r="X31" s="574"/>
      <x:c r="Y31" s="808" t="s">
        <x:v>33</x:v>
      </x:c>
      <x:c r="Z31" s="809" t="s">
        <x:v>166</x:v>
      </x:c>
      <x:c r="AA31" s="790" t="str">
        <x:f>_xlfn.LET(_xlpm.r, MATCH($I31, Pivot!$A$11:$A$35, 0),_xlpm.c, MATCH($C$7, Pivot!$B$2:$EU$2, 0),IFERROR(INDEX(Pivot!$B$11:$EU$35, _xlpm.r, _xlpm.c), 0))</x:f>
      </x:c>
      <x:c r="AB31" s="574" t="str">
        <x:f>_xlfn.LET(_xlpm.r, MATCH($I31, Pivot!$A$11:$A$35, 0),_xlpm.c, MATCH($C$6, Pivot!$B$2:$EU$2, 0),IFERROR(INDEX(Pivot!$B$11:$EU$35, _xlpm.r, _xlpm.c), 0))</x:f>
      </x:c>
      <x:c r="AC31" s="574">
        <x:f t="shared" si="4"/>
        <x:v>0</x:v>
      </x:c>
      <x:c r="AD31" s="574" t="n">
        <x:f>IF(AC31&gt;0,MAX($AD$12:AD30)+1,0)</x:f>
        <x:v>0</x:v>
      </x:c>
      <x:c r="AE31" s="574"/>
      <x:c r="AF31" s="790" t="str">
        <x:f>_xlfn.LET(_xlpm.r, MATCH($I31, Pivot!$A$11:$A$35, 0),_xlpm.c, MATCH($S$7, Pivot!$B$2:$EU$2, 0),IFERROR(INDEX(Pivot!$B$11:$EU$35, _xlpm.r, _xlpm.c), 0))</x:f>
      </x:c>
      <x:c r="AG31" s="790" t="e">
        <x:f>_xlfn.LET(_xlpm.r, MATCH($I31, Pivot!$A$11:$A$35, 0),_xlpm.c, MATCH($S$6, Pivot!$B$2:$EU$2, 0),IFERROR(INDEX(Pivot!$B$11:$EU$35, _xlpm.r, _xlpm.c), 0))</x:f>
        <x:v>#N/A</x:v>
      </x:c>
      <x:c r="AH31" s="790">
        <x:f t="shared" si="5"/>
        <x:v>0</x:v>
      </x:c>
      <x:c r="AI31" s="810" t="n">
        <x:f>IF(AH31&gt;0,MAX($AI$12:AI30)+1,0)</x:f>
        <x:v>0</x:v>
      </x:c>
      <x:c r="AJ31" s="383"/>
      <x:c r="AK31" s="383"/>
      <x:c r="AL31" s="383"/>
      <x:c r="AM31" s="383"/>
      <x:c r="AN31" s="383"/>
      <x:c r="AO31" s="383"/>
      <x:c r="AP31" s="383"/>
      <x:c r="AQ31" s="383"/>
      <x:c r="AR31" s="383"/>
      <x:c r="AS31" s="383"/>
      <x:c r="AT31" s="383"/>
      <x:c r="AU31" s="383"/>
      <x:c r="AV31" s="383"/>
      <x:c r="AW31" s="383"/>
      <x:c r="AX31" s="383"/>
      <x:c r="AY31" s="383"/>
      <x:c r="AZ31" s="383"/>
      <x:c r="BA31" s="383"/>
      <x:c r="BB31" s="383"/>
      <x:c r="BC31" s="383"/>
      <x:c r="BD31" s="383"/>
      <x:c r="BE31" s="383"/>
      <x:c r="BF31" s="383"/>
      <x:c r="BG31" s="383"/>
      <x:c r="BH31" s="383"/>
      <x:c r="BI31" s="383"/>
      <x:c r="BJ31" s="383"/>
      <x:c r="BK31" s="383"/>
      <x:c r="BL31" s="383"/>
      <x:c r="BM31" s="383"/>
      <x:c r="BN31" s="383"/>
      <x:c r="BO31" s="383"/>
      <x:c r="BP31" s="383"/>
      <x:c r="BQ31" s="383"/>
      <x:c r="BR31" s="383"/>
      <x:c r="BS31" s="383"/>
      <x:c r="BT31" s="383"/>
      <x:c r="BU31" s="383"/>
      <x:c r="BV31" s="383"/>
      <x:c r="BW31" s="383"/>
      <x:c r="BX31" s="383"/>
      <x:c r="BY31" s="383"/>
      <x:c r="BZ31" s="383"/>
      <x:c r="CA31" s="383"/>
      <x:c r="CB31" s="383"/>
      <x:c r="CC31" s="383"/>
      <x:c r="CD31" s="383"/>
      <x:c r="CE31" s="383"/>
      <x:c r="CF31" s="383"/>
      <x:c r="CG31" s="383"/>
      <x:c r="CH31" s="383"/>
      <x:c r="CI31" s="383"/>
      <x:c r="CJ31" s="383"/>
      <x:c r="CK31" s="383"/>
      <x:c r="CL31" s="383"/>
      <x:c r="CM31" s="383"/>
    </x:row>
    <x:row r="32" ht="22" hidden="1" customHeight="1">
      <x:c r="A32" s="479"/>
      <x:c r="B32" s="897" t="str">
        <x:f t="shared" ref="B32:B33" si="6">_xlfn.XLOOKUP(E32,$AD$12:$AD$31,$Z$12:$Z$31,"")</x:f>
        <x:v>Namangan SKLAD</x:v>
      </x:c>
      <x:c r="C32" s="472" t="str">
        <x:f>_xlfn.XLOOKUP(E32,$AD$12:$AD$31,$AA$12:$AA$31,"")</x:f>
      </x:c>
      <x:c r="D32" s="903"/>
      <x:c r="E32" s="904"/>
      <x:c r="F32" s="889"/>
      <x:c r="G32" s="889"/>
      <x:c r="H32" s="889"/>
      <x:c r="I32" s="892"/>
      <x:c r="J32" s="892"/>
      <x:c r="K32" s="892"/>
      <x:c r="L32" s="892"/>
      <x:c r="M32" s="889"/>
      <x:c r="N32" s="889"/>
      <x:c r="O32" s="415"/>
      <x:c r="P32" s="415"/>
      <x:c r="Q32" s="415"/>
      <x:c r="R32" s="415" t="str">
        <x:f>_xlfn.XLOOKUP(U32,$AD$12:$AD$31,$Z$12:$Z$31,"")</x:f>
        <x:v>Namangan SKLAD</x:v>
      </x:c>
      <x:c r="S32" s="472"/>
      <x:c r="T32" s="415"/>
      <x:c r="U32" s="415"/>
      <x:c r="V32" s="472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  <x:c r="AM32" s="415"/>
      <x:c r="AN32" s="415"/>
      <x:c r="AO32" s="415"/>
      <x:c r="AP32" s="415"/>
      <x:c r="AQ32" s="415"/>
      <x:c r="AR32" s="415"/>
      <x:c r="AS32" s="415"/>
      <x:c r="AT32" s="415"/>
      <x:c r="AU32" s="415"/>
      <x:c r="AV32" s="415"/>
      <x:c r="AW32" s="415"/>
      <x:c r="AX32" s="415"/>
      <x:c r="AY32" s="415"/>
      <x:c r="AZ32" s="415"/>
      <x:c r="BA32" s="415"/>
      <x:c r="BB32" s="415"/>
      <x:c r="BC32" s="415"/>
      <x:c r="BD32" s="415"/>
      <x:c r="BE32" s="415"/>
      <x:c r="BF32" s="415"/>
      <x:c r="BG32" s="415"/>
      <x:c r="BH32" s="415"/>
      <x:c r="BI32" s="415"/>
      <x:c r="BJ32" s="415"/>
      <x:c r="BK32" s="415"/>
      <x:c r="BL32" s="415"/>
      <x:c r="BM32" s="415"/>
      <x:c r="BN32" s="415"/>
      <x:c r="BO32" s="415"/>
      <x:c r="BP32" s="415"/>
      <x:c r="BQ32" s="415"/>
      <x:c r="BR32" s="415"/>
      <x:c r="BS32" s="415"/>
      <x:c r="BT32" s="415"/>
      <x:c r="BU32" s="415"/>
      <x:c r="BV32" s="415"/>
      <x:c r="BW32" s="415"/>
      <x:c r="BX32" s="415"/>
      <x:c r="BY32" s="415"/>
      <x:c r="BZ32" s="415"/>
      <x:c r="CA32" s="415"/>
      <x:c r="CB32" s="415"/>
      <x:c r="CC32" s="415"/>
      <x:c r="CD32" s="415"/>
      <x:c r="CE32" s="415"/>
      <x:c r="CF32" s="415"/>
      <x:c r="CG32" s="415"/>
      <x:c r="CH32" s="415"/>
      <x:c r="CI32" s="415"/>
      <x:c r="CJ32" s="415"/>
      <x:c r="CK32" s="415"/>
      <x:c r="CL32" s="415"/>
      <x:c r="CM32" s="415"/>
    </x:row>
    <x:row r="33" ht="22" hidden="1" customHeight="1">
      <x:c r="A33" s="480"/>
      <x:c r="B33" s="383" t="str">
        <x:f t="shared" si="6"/>
      </x:c>
      <x:c r="C33" s="813"/>
      <x:c r="D33" s="813"/>
      <x:c r="E33" s="791"/>
      <x:c r="F33" s="793"/>
      <x:c r="G33" s="793"/>
      <x:c r="H33" s="793"/>
      <x:c r="I33" s="803"/>
      <x:c r="J33" s="803"/>
      <x:c r="K33" s="803"/>
      <x:c r="L33" s="803"/>
      <x:c r="M33" s="793"/>
      <x:c r="N33" s="793"/>
      <x:c r="O33" s="587"/>
      <x:c r="P33" s="587"/>
      <x:c r="Q33" s="587"/>
      <x:c r="R33" s="587"/>
      <x:c r="S33" s="784"/>
      <x:c r="T33" s="587"/>
      <x:c r="U33" s="587"/>
      <x:c r="V33" s="784"/>
      <x:c r="W33" s="383"/>
      <x:c r="X33" s="383"/>
      <x:c r="Y33" s="383"/>
      <x:c r="Z33" s="383"/>
      <x:c r="AA33" s="383"/>
      <x:c r="AB33" s="383"/>
      <x:c r="AC33" s="383"/>
      <x:c r="AD33" s="383"/>
      <x:c r="AE33" s="383"/>
      <x:c r="AF33" s="383"/>
      <x:c r="AG33" s="383"/>
      <x:c r="AH33" s="383"/>
      <x:c r="AI33" s="383"/>
      <x:c r="AJ33" s="383"/>
      <x:c r="AK33" s="383"/>
      <x:c r="AL33" s="383"/>
      <x:c r="AM33" s="383"/>
      <x:c r="AN33" s="383"/>
      <x:c r="AO33" s="383"/>
      <x:c r="AP33" s="383"/>
      <x:c r="AQ33" s="383"/>
      <x:c r="AR33" s="383"/>
      <x:c r="AS33" s="383"/>
      <x:c r="AT33" s="383"/>
      <x:c r="AU33" s="383"/>
      <x:c r="AV33" s="383"/>
      <x:c r="AW33" s="383"/>
      <x:c r="AX33" s="383"/>
      <x:c r="AY33" s="383"/>
      <x:c r="AZ33" s="383"/>
      <x:c r="BA33" s="383"/>
      <x:c r="BB33" s="383"/>
      <x:c r="BC33" s="383"/>
      <x:c r="BD33" s="383"/>
      <x:c r="BE33" s="383"/>
      <x:c r="BF33" s="383"/>
      <x:c r="BG33" s="383"/>
      <x:c r="BH33" s="383"/>
      <x:c r="BI33" s="383"/>
      <x:c r="BJ33" s="383"/>
      <x:c r="BK33" s="383"/>
      <x:c r="BL33" s="383"/>
      <x:c r="BM33" s="383"/>
      <x:c r="BN33" s="383"/>
      <x:c r="BO33" s="383"/>
      <x:c r="BP33" s="383"/>
      <x:c r="BQ33" s="383"/>
      <x:c r="BR33" s="383"/>
      <x:c r="BS33" s="383"/>
      <x:c r="BT33" s="383"/>
      <x:c r="BU33" s="383"/>
      <x:c r="BV33" s="383"/>
      <x:c r="BW33" s="383"/>
      <x:c r="BX33" s="383"/>
      <x:c r="BY33" s="383"/>
      <x:c r="BZ33" s="383"/>
      <x:c r="CA33" s="383"/>
      <x:c r="CB33" s="383"/>
      <x:c r="CC33" s="383"/>
      <x:c r="CD33" s="383"/>
      <x:c r="CE33" s="383"/>
      <x:c r="CF33" s="383"/>
      <x:c r="CG33" s="383"/>
      <x:c r="CH33" s="383"/>
      <x:c r="CI33" s="383"/>
      <x:c r="CJ33" s="383"/>
      <x:c r="CK33" s="383"/>
      <x:c r="CL33" s="383"/>
      <x:c r="CM33" s="383"/>
    </x:row>
    <x:row r="34" ht="22" hidden="1" customHeight="1">
      <x:c r="A34" s="479"/>
      <x:c r="B34" s="905"/>
      <x:c r="C34" s="903"/>
      <x:c r="D34" s="903"/>
      <x:c r="E34" s="904"/>
      <x:c r="F34" s="889"/>
      <x:c r="G34" s="889"/>
      <x:c r="H34" s="889"/>
      <x:c r="I34" s="892"/>
      <x:c r="J34" s="892"/>
      <x:c r="K34" s="892"/>
      <x:c r="L34" s="892"/>
      <x:c r="M34" s="889"/>
      <x:c r="N34" s="889"/>
      <x:c r="O34" s="415"/>
      <x:c r="P34" s="415"/>
      <x:c r="Q34" s="415"/>
      <x:c r="R34" s="415"/>
      <x:c r="S34" s="472"/>
      <x:c r="T34" s="415"/>
      <x:c r="U34" s="415"/>
      <x:c r="V34" s="472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  <x:c r="AM34" s="415"/>
      <x:c r="AN34" s="415"/>
      <x:c r="AO34" s="415"/>
      <x:c r="AP34" s="415"/>
      <x:c r="AQ34" s="415"/>
      <x:c r="AR34" s="415"/>
      <x:c r="AS34" s="415"/>
      <x:c r="AT34" s="415"/>
      <x:c r="AU34" s="415"/>
      <x:c r="AV34" s="415"/>
      <x:c r="AW34" s="415"/>
      <x:c r="AX34" s="415"/>
      <x:c r="AY34" s="415"/>
      <x:c r="AZ34" s="415"/>
      <x:c r="BA34" s="415"/>
      <x:c r="BB34" s="415"/>
      <x:c r="BC34" s="415"/>
      <x:c r="BD34" s="415"/>
      <x:c r="BE34" s="415"/>
      <x:c r="BF34" s="415"/>
      <x:c r="BG34" s="415"/>
      <x:c r="BH34" s="415"/>
      <x:c r="BI34" s="415"/>
      <x:c r="BJ34" s="415"/>
      <x:c r="BK34" s="415"/>
      <x:c r="BL34" s="415"/>
      <x:c r="BM34" s="415"/>
      <x:c r="BN34" s="415"/>
      <x:c r="BO34" s="415"/>
      <x:c r="BP34" s="415"/>
      <x:c r="BQ34" s="415"/>
      <x:c r="BR34" s="415"/>
      <x:c r="BS34" s="415"/>
      <x:c r="BT34" s="415"/>
      <x:c r="BU34" s="415"/>
      <x:c r="BV34" s="415"/>
      <x:c r="BW34" s="415"/>
      <x:c r="BX34" s="415"/>
      <x:c r="BY34" s="415"/>
      <x:c r="BZ34" s="415"/>
      <x:c r="CA34" s="415"/>
      <x:c r="CB34" s="415"/>
      <x:c r="CC34" s="415"/>
      <x:c r="CD34" s="415"/>
      <x:c r="CE34" s="415"/>
      <x:c r="CF34" s="415"/>
      <x:c r="CG34" s="415"/>
      <x:c r="CH34" s="415"/>
      <x:c r="CI34" s="415"/>
      <x:c r="CJ34" s="415"/>
      <x:c r="CK34" s="415"/>
      <x:c r="CL34" s="415"/>
      <x:c r="CM34" s="415"/>
    </x:row>
    <x:row r="35" ht="22" hidden="1" customHeight="1">
      <x:c r="A35" s="480"/>
      <x:c r="B35" s="814"/>
      <x:c r="C35" s="813"/>
      <x:c r="D35" s="813"/>
      <x:c r="E35" s="791"/>
      <x:c r="F35" s="793"/>
      <x:c r="G35" s="793"/>
      <x:c r="H35" s="793"/>
      <x:c r="I35" s="803"/>
      <x:c r="J35" s="803"/>
      <x:c r="K35" s="803"/>
      <x:c r="L35" s="803"/>
      <x:c r="M35" s="793"/>
      <x:c r="N35" s="793"/>
      <x:c r="O35" s="587"/>
      <x:c r="P35" s="587"/>
      <x:c r="Q35" s="587"/>
      <x:c r="R35" s="587"/>
      <x:c r="S35" s="784"/>
      <x:c r="T35" s="587"/>
      <x:c r="U35" s="587"/>
      <x:c r="V35" s="784"/>
      <x:c r="W35" s="383"/>
      <x:c r="X35" s="383"/>
      <x:c r="Y35" s="383"/>
      <x:c r="Z35" s="383"/>
      <x:c r="AA35" s="383"/>
      <x:c r="AB35" s="383"/>
      <x:c r="AC35" s="383"/>
      <x:c r="AD35" s="383"/>
      <x:c r="AE35" s="383"/>
      <x:c r="AF35" s="383"/>
      <x:c r="AG35" s="383"/>
      <x:c r="AH35" s="383"/>
      <x:c r="AI35" s="383"/>
      <x:c r="AJ35" s="383"/>
      <x:c r="AK35" s="383"/>
      <x:c r="AL35" s="383"/>
      <x:c r="AM35" s="383"/>
      <x:c r="AN35" s="383"/>
      <x:c r="AO35" s="383"/>
      <x:c r="AP35" s="383"/>
      <x:c r="AQ35" s="383"/>
      <x:c r="AR35" s="383"/>
      <x:c r="AS35" s="383"/>
      <x:c r="AT35" s="383"/>
      <x:c r="AU35" s="383"/>
      <x:c r="AV35" s="383"/>
      <x:c r="AW35" s="383"/>
      <x:c r="AX35" s="383"/>
      <x:c r="AY35" s="383"/>
      <x:c r="AZ35" s="383"/>
      <x:c r="BA35" s="383"/>
      <x:c r="BB35" s="383"/>
      <x:c r="BC35" s="383"/>
      <x:c r="BD35" s="383"/>
      <x:c r="BE35" s="383"/>
      <x:c r="BF35" s="383"/>
      <x:c r="BG35" s="383"/>
      <x:c r="BH35" s="383"/>
      <x:c r="BI35" s="383"/>
      <x:c r="BJ35" s="383"/>
      <x:c r="BK35" s="383"/>
      <x:c r="BL35" s="383"/>
      <x:c r="BM35" s="383"/>
      <x:c r="BN35" s="383"/>
      <x:c r="BO35" s="383"/>
      <x:c r="BP35" s="383"/>
      <x:c r="BQ35" s="383"/>
      <x:c r="BR35" s="383"/>
      <x:c r="BS35" s="383"/>
      <x:c r="BT35" s="383"/>
      <x:c r="BU35" s="383"/>
      <x:c r="BV35" s="383"/>
      <x:c r="BW35" s="383"/>
      <x:c r="BX35" s="383"/>
      <x:c r="BY35" s="383"/>
      <x:c r="BZ35" s="383"/>
      <x:c r="CA35" s="383"/>
      <x:c r="CB35" s="383"/>
      <x:c r="CC35" s="383"/>
      <x:c r="CD35" s="383"/>
      <x:c r="CE35" s="383"/>
      <x:c r="CF35" s="383"/>
      <x:c r="CG35" s="383"/>
      <x:c r="CH35" s="383"/>
      <x:c r="CI35" s="383"/>
      <x:c r="CJ35" s="383"/>
      <x:c r="CK35" s="383"/>
      <x:c r="CL35" s="383"/>
      <x:c r="CM35" s="383"/>
    </x:row>
    <x:row r="36" ht="22" hidden="1" customHeight="1">
      <x:c r="A36" s="479"/>
      <x:c r="B36" s="905"/>
      <x:c r="C36" s="903"/>
      <x:c r="D36" s="903"/>
      <x:c r="E36" s="904"/>
      <x:c r="F36" s="889"/>
      <x:c r="G36" s="889"/>
      <x:c r="H36" s="889"/>
      <x:c r="I36" s="892"/>
      <x:c r="J36" s="892"/>
      <x:c r="K36" s="892"/>
      <x:c r="L36" s="892"/>
      <x:c r="M36" s="889"/>
      <x:c r="N36" s="889"/>
      <x:c r="O36" s="415"/>
      <x:c r="P36" s="415"/>
      <x:c r="Q36" s="415"/>
      <x:c r="R36" s="415"/>
      <x:c r="S36" s="472"/>
      <x:c r="T36" s="415"/>
      <x:c r="U36" s="415"/>
      <x:c r="V36" s="472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  <x:c r="AM36" s="415"/>
      <x:c r="AN36" s="415"/>
      <x:c r="AO36" s="415"/>
      <x:c r="AP36" s="415"/>
      <x:c r="AQ36" s="415"/>
      <x:c r="AR36" s="415"/>
      <x:c r="AS36" s="415"/>
      <x:c r="AT36" s="415"/>
      <x:c r="AU36" s="415"/>
      <x:c r="AV36" s="415"/>
      <x:c r="AW36" s="415"/>
      <x:c r="AX36" s="415"/>
      <x:c r="AY36" s="415"/>
      <x:c r="AZ36" s="415"/>
      <x:c r="BA36" s="415"/>
      <x:c r="BB36" s="415"/>
      <x:c r="BC36" s="415"/>
      <x:c r="BD36" s="415"/>
      <x:c r="BE36" s="415"/>
      <x:c r="BF36" s="415"/>
      <x:c r="BG36" s="415"/>
      <x:c r="BH36" s="415"/>
      <x:c r="BI36" s="415"/>
      <x:c r="BJ36" s="415"/>
      <x:c r="BK36" s="415"/>
      <x:c r="BL36" s="415"/>
      <x:c r="BM36" s="415"/>
      <x:c r="BN36" s="415"/>
      <x:c r="BO36" s="415"/>
      <x:c r="BP36" s="415"/>
      <x:c r="BQ36" s="415"/>
      <x:c r="BR36" s="415"/>
      <x:c r="BS36" s="415"/>
      <x:c r="BT36" s="415"/>
      <x:c r="BU36" s="415"/>
      <x:c r="BV36" s="415"/>
      <x:c r="BW36" s="415"/>
      <x:c r="BX36" s="415"/>
      <x:c r="BY36" s="415"/>
      <x:c r="BZ36" s="415"/>
      <x:c r="CA36" s="415"/>
      <x:c r="CB36" s="415"/>
      <x:c r="CC36" s="415"/>
      <x:c r="CD36" s="415"/>
      <x:c r="CE36" s="415"/>
      <x:c r="CF36" s="415"/>
      <x:c r="CG36" s="415"/>
      <x:c r="CH36" s="415"/>
      <x:c r="CI36" s="415"/>
      <x:c r="CJ36" s="415"/>
      <x:c r="CK36" s="415"/>
      <x:c r="CL36" s="415"/>
      <x:c r="CM36" s="415"/>
    </x:row>
    <x:row r="37" ht="22" hidden="1" customHeight="1">
      <x:c r="A37" s="480"/>
      <x:c r="B37" s="814"/>
      <x:c r="C37" s="813"/>
      <x:c r="D37" s="813"/>
      <x:c r="E37" s="791"/>
      <x:c r="F37" s="793"/>
      <x:c r="G37" s="793"/>
      <x:c r="H37" s="793"/>
      <x:c r="I37" s="803"/>
      <x:c r="J37" s="803"/>
      <x:c r="K37" s="803"/>
      <x:c r="L37" s="803"/>
      <x:c r="M37" s="793"/>
      <x:c r="N37" s="793"/>
      <x:c r="O37" s="587"/>
      <x:c r="P37" s="587"/>
      <x:c r="Q37" s="587"/>
      <x:c r="R37" s="587"/>
      <x:c r="S37" s="784"/>
      <x:c r="T37" s="587"/>
      <x:c r="U37" s="587"/>
      <x:c r="V37" s="784"/>
      <x:c r="W37" s="383"/>
      <x:c r="X37" s="383"/>
      <x:c r="Y37" s="383"/>
      <x:c r="Z37" s="383"/>
      <x:c r="AA37" s="383"/>
      <x:c r="AB37" s="383"/>
      <x:c r="AC37" s="383"/>
      <x:c r="AD37" s="383"/>
      <x:c r="AE37" s="383"/>
      <x:c r="AF37" s="383"/>
      <x:c r="AG37" s="383"/>
      <x:c r="AH37" s="383"/>
      <x:c r="AI37" s="383"/>
      <x:c r="AJ37" s="383"/>
      <x:c r="AK37" s="383"/>
      <x:c r="AL37" s="383"/>
      <x:c r="AM37" s="383"/>
      <x:c r="AN37" s="383"/>
      <x:c r="AO37" s="383"/>
      <x:c r="AP37" s="383"/>
      <x:c r="AQ37" s="383"/>
      <x:c r="AR37" s="383"/>
      <x:c r="AS37" s="383"/>
      <x:c r="AT37" s="383"/>
      <x:c r="AU37" s="383"/>
      <x:c r="AV37" s="383"/>
      <x:c r="AW37" s="383"/>
      <x:c r="AX37" s="383"/>
      <x:c r="AY37" s="383"/>
      <x:c r="AZ37" s="383"/>
      <x:c r="BA37" s="383"/>
      <x:c r="BB37" s="383"/>
      <x:c r="BC37" s="383"/>
      <x:c r="BD37" s="383"/>
      <x:c r="BE37" s="383"/>
      <x:c r="BF37" s="383"/>
      <x:c r="BG37" s="383"/>
      <x:c r="BH37" s="383"/>
      <x:c r="BI37" s="383"/>
      <x:c r="BJ37" s="383"/>
      <x:c r="BK37" s="383"/>
      <x:c r="BL37" s="383"/>
      <x:c r="BM37" s="383"/>
      <x:c r="BN37" s="383"/>
      <x:c r="BO37" s="383"/>
      <x:c r="BP37" s="383"/>
      <x:c r="BQ37" s="383"/>
      <x:c r="BR37" s="383"/>
      <x:c r="BS37" s="383"/>
      <x:c r="BT37" s="383"/>
      <x:c r="BU37" s="383"/>
      <x:c r="BV37" s="383"/>
      <x:c r="BW37" s="383"/>
      <x:c r="BX37" s="383"/>
      <x:c r="BY37" s="383"/>
      <x:c r="BZ37" s="383"/>
      <x:c r="CA37" s="383"/>
      <x:c r="CB37" s="383"/>
      <x:c r="CC37" s="383"/>
      <x:c r="CD37" s="383"/>
      <x:c r="CE37" s="383"/>
      <x:c r="CF37" s="383"/>
      <x:c r="CG37" s="383"/>
      <x:c r="CH37" s="383"/>
      <x:c r="CI37" s="383"/>
      <x:c r="CJ37" s="383"/>
      <x:c r="CK37" s="383"/>
      <x:c r="CL37" s="383"/>
      <x:c r="CM37" s="383"/>
    </x:row>
    <x:row r="38" ht="22" hidden="1" customHeight="1">
      <x:c r="A38" s="479"/>
      <x:c r="B38" s="905"/>
      <x:c r="C38" s="903"/>
      <x:c r="D38" s="903"/>
      <x:c r="E38" s="904"/>
      <x:c r="F38" s="889"/>
      <x:c r="G38" s="889"/>
      <x:c r="H38" s="889"/>
      <x:c r="I38" s="892"/>
      <x:c r="J38" s="892"/>
      <x:c r="K38" s="892"/>
      <x:c r="L38" s="892"/>
      <x:c r="M38" s="889"/>
      <x:c r="N38" s="889"/>
      <x:c r="O38" s="415"/>
      <x:c r="P38" s="415"/>
      <x:c r="Q38" s="415"/>
      <x:c r="R38" s="415"/>
      <x:c r="S38" s="472"/>
      <x:c r="T38" s="415"/>
      <x:c r="U38" s="415"/>
      <x:c r="V38" s="472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  <x:c r="AM38" s="415"/>
      <x:c r="AN38" s="415"/>
      <x:c r="AO38" s="415"/>
      <x:c r="AP38" s="415"/>
      <x:c r="AQ38" s="415"/>
      <x:c r="AR38" s="415"/>
      <x:c r="AS38" s="415"/>
      <x:c r="AT38" s="415"/>
      <x:c r="AU38" s="415"/>
      <x:c r="AV38" s="415"/>
      <x:c r="AW38" s="415"/>
      <x:c r="AX38" s="415"/>
      <x:c r="AY38" s="415"/>
      <x:c r="AZ38" s="415"/>
      <x:c r="BA38" s="415"/>
      <x:c r="BB38" s="415"/>
      <x:c r="BC38" s="415"/>
      <x:c r="BD38" s="415"/>
      <x:c r="BE38" s="415"/>
      <x:c r="BF38" s="415"/>
      <x:c r="BG38" s="415"/>
      <x:c r="BH38" s="415"/>
      <x:c r="BI38" s="415"/>
      <x:c r="BJ38" s="415"/>
      <x:c r="BK38" s="415"/>
      <x:c r="BL38" s="415"/>
      <x:c r="BM38" s="415"/>
      <x:c r="BN38" s="415"/>
      <x:c r="BO38" s="415"/>
      <x:c r="BP38" s="415"/>
      <x:c r="BQ38" s="415"/>
      <x:c r="BR38" s="415"/>
      <x:c r="BS38" s="415"/>
      <x:c r="BT38" s="415"/>
      <x:c r="BU38" s="415"/>
      <x:c r="BV38" s="415"/>
      <x:c r="BW38" s="415"/>
      <x:c r="BX38" s="415"/>
      <x:c r="BY38" s="415"/>
      <x:c r="BZ38" s="415"/>
      <x:c r="CA38" s="415"/>
      <x:c r="CB38" s="415"/>
      <x:c r="CC38" s="415"/>
      <x:c r="CD38" s="415"/>
      <x:c r="CE38" s="415"/>
      <x:c r="CF38" s="415"/>
      <x:c r="CG38" s="415"/>
      <x:c r="CH38" s="415"/>
      <x:c r="CI38" s="415"/>
      <x:c r="CJ38" s="415"/>
      <x:c r="CK38" s="415"/>
      <x:c r="CL38" s="415"/>
      <x:c r="CM38" s="415"/>
    </x:row>
    <x:row r="39" s="78" customFormat="1" ht="22" customHeight="1">
      <x:c r="A39" s="480"/>
      <x:c r="B39" s="814" t="s">
        <x:v>130</x:v>
      </x:c>
      <x:c r="C39" s="443" t="str">
        <x:f>CONCATENATE("ИТОГО Сумма СуммаMAMAНет",C40)</x:f>
        <x:v>ИТОГО Сумма СуммаMAMAНетDRY (Qo'ltiq qistirma)</x:v>
      </x:c>
      <x:c r="D39" s="443" t="str">
        <x:f>CONCATENATE("ИТОГО Сумма СуммаMAMAДа",C40)</x:f>
        <x:v>ИТОГО Сумма СуммаMAMAДаDRY (Qo'ltiq qistirma)</x:v>
      </x:c>
      <x:c r="E39" s="447" t="str">
        <x:f>CONCATENATE("ИТОГО Сумма СуммаMAMAНет",E40)</x:f>
        <x:v>ИТОГО Сумма СуммаMAMAНетEjednevka</x:v>
      </x:c>
      <x:c r="F39" s="447" t="str">
        <x:f>CONCATENATE("ИТОГО Сумма СуммаMAMAДа",E40)</x:f>
        <x:v>ИТОГО Сумма СуммаMAMAДаEjednevka</x:v>
      </x:c>
      <x:c r="G39" s="447" t="str">
        <x:f>CONCATENATE("ИТОГО Сумма СуммаMAMAНет",G40)</x:f>
        <x:v>ИТОГО Сумма СуммаMAMAНетGrudnoy</x:v>
      </x:c>
      <x:c r="H39" s="447" t="str">
        <x:f>CONCATENATE("ИТОГО Сумма СуммаMAMAДа",G40)</x:f>
        <x:v>ИТОГО Сумма СуммаMAMAДаGrudnoy</x:v>
      </x:c>
      <x:c r="I39" s="815" t="str">
        <x:f>CONCATENATE("ИТОГО Сумма СуммаMAMAНет",I40)</x:f>
        <x:v>ИТОГО Сумма СуммаMAMAНетKattalar tagligi (mini)</x:v>
      </x:c>
      <x:c r="J39" s="815" t="str">
        <x:f>CONCATENATE("ИТОГО Сумма СуммаMAMAДа",I40)</x:f>
        <x:v>ИТОГО Сумма СуммаMAMAДаKattalar tagligi (mini)</x:v>
      </x:c>
      <x:c r="K39" s="815" t="str">
        <x:f>CONCATENATE("ИТОГО Сумма СуммаMAMAНет",K40)</x:f>
        <x:v>ИТОГО Сумма СуммаMAMAНетPoslerodovoy</x:v>
      </x:c>
      <x:c r="L39" s="815" t="str">
        <x:f>CONCATENATE("ИТОГО Сумма СуммаMAMAДа",K40)</x:f>
        <x:v>ИТОГО Сумма СуммаMAMAДаPoslerodovoy</x:v>
      </x:c>
      <x:c r="M39" s="447" t="str">
        <x:f>CONCATENATE("ИТОГО Сумма СуммаMAMAНет",M40)</x:f>
        <x:v>ИТОГО Сумма СуммаMAMAНетProkladki</x:v>
      </x:c>
      <x:c r="N39" s="447" t="str">
        <x:f>CONCATENATE("ИТОГО Сумма СуммаMAMAДа",M40)</x:f>
        <x:v>ИТОГО Сумма СуммаMAMAДаProkladki</x:v>
      </x:c>
      <x:c r="O39" s="447" t="str">
        <x:f>CONCATENATE("ИТОГО Сумма СуммаMAMAНет",O40)</x:f>
        <x:v>ИТОГО Сумма СуммаMAMAНетYoyoki trusik</x:v>
      </x:c>
      <x:c r="P39" s="447" t="str">
        <x:f>CONCATENATE("ИТОГО Сумма СуммаMAMAДа",O40)</x:f>
        <x:v>ИТОГО Сумма СуммаMAMAДаYoyoki trusik</x:v>
      </x:c>
      <x:c r="Q39" s="447" t="str">
        <x:f>CONCATENATE("ИТОГО Сумма СуммаMAMAНет",Q40)</x:f>
        <x:v>ИТОГО Сумма СуммаMAMAНетYoyoki lipuchka</x:v>
      </x:c>
      <x:c r="R39" s="447" t="str">
        <x:f>CONCATENATE("ИТОГО Сумма СуммаMAMAДа",Q40)</x:f>
        <x:v>ИТОГО Сумма СуммаMAMAДаYoyoki lipuchka</x:v>
      </x:c>
      <x:c r="S39" s="443" t="str">
        <x:f>CONCATENATE("ИТОГО Сумма СуммаMAMAНет",S40)</x:f>
        <x:v>ИТОГО Сумма СуммаMAMAНетSalfetka (vlajniy)</x:v>
      </x:c>
      <x:c r="T39" s="447" t="str">
        <x:f>CONCATENATE("ИТОГО Сумма СуммаMAMAДа",S40)</x:f>
        <x:v>ИТОГО Сумма СуммаMAMAДаSalfetka (vlajniy)</x:v>
      </x:c>
      <x:c r="U39" s="447" t="str">
        <x:f>CONCATENATE("ИТОГО Сумма СуммаMAMAНет",U40)</x:f>
        <x:v>ИТОГО Сумма СуммаMAMAНетPaket (Aygen model)</x:v>
      </x:c>
      <x:c r="V39" s="443" t="str">
        <x:f>CONCATENATE("ИТОГО Сумма СуммаMAMAДа",U40)</x:f>
        <x:v>ИТОГО Сумма СуммаMAMAДаPaket (Aygen model)</x:v>
      </x:c>
      <x:c r="W39" s="383"/>
      <x:c r="X39" s="383"/>
      <x:c r="Y39" s="383"/>
      <x:c r="Z39" s="383"/>
      <x:c r="AA39" s="383"/>
      <x:c r="AB39" s="383" t="s">
        <x:v>244</x:v>
      </x:c>
      <x:c r="AC39" s="383"/>
      <x:c r="AD39" s="383"/>
      <x:c r="AE39" s="383"/>
      <x:c r="AF39" s="383"/>
      <x:c r="AG39" s="383"/>
      <x:c r="AH39" s="383"/>
      <x:c r="AI39" s="383"/>
      <x:c r="AJ39" s="383"/>
      <x:c r="AK39" s="383"/>
      <x:c r="AL39" s="383"/>
      <x:c r="AM39" s="383"/>
      <x:c r="AN39" s="383"/>
      <x:c r="AO39" s="383"/>
      <x:c r="AP39" s="383"/>
      <x:c r="AQ39" s="383"/>
      <x:c r="AR39" s="383"/>
      <x:c r="AS39" s="383"/>
      <x:c r="AT39" s="383"/>
      <x:c r="AU39" s="383"/>
      <x:c r="AV39" s="383"/>
      <x:c r="AW39" s="383"/>
      <x:c r="AX39" s="383"/>
      <x:c r="AY39" s="383"/>
      <x:c r="AZ39" s="383"/>
      <x:c r="BA39" s="383"/>
      <x:c r="BB39" s="383"/>
      <x:c r="BC39" s="383"/>
      <x:c r="BD39" s="383"/>
      <x:c r="BE39" s="383"/>
      <x:c r="BF39" s="383"/>
      <x:c r="BG39" s="383"/>
      <x:c r="BH39" s="383"/>
      <x:c r="BI39" s="383"/>
      <x:c r="BJ39" s="383"/>
      <x:c r="BK39" s="383"/>
      <x:c r="BL39" s="383"/>
      <x:c r="BM39" s="383"/>
      <x:c r="BN39" s="383"/>
      <x:c r="BO39" s="383"/>
      <x:c r="BP39" s="383"/>
      <x:c r="BQ39" s="383"/>
      <x:c r="BR39" s="383"/>
      <x:c r="BS39" s="383"/>
      <x:c r="BT39" s="383"/>
      <x:c r="BU39" s="383"/>
      <x:c r="BV39" s="383"/>
      <x:c r="BW39" s="383"/>
      <x:c r="BX39" s="383"/>
      <x:c r="BY39" s="383"/>
      <x:c r="BZ39" s="383"/>
      <x:c r="CA39" s="383"/>
      <x:c r="CB39" s="383"/>
      <x:c r="CC39" s="383"/>
      <x:c r="CD39" s="383"/>
      <x:c r="CE39" s="383"/>
      <x:c r="CF39" s="383"/>
      <x:c r="CG39" s="383"/>
      <x:c r="CH39" s="383"/>
      <x:c r="CI39" s="383"/>
      <x:c r="CJ39" s="383"/>
      <x:c r="CK39" s="383"/>
      <x:c r="CL39" s="383"/>
      <x:c r="CM39" s="383"/>
    </x:row>
    <x:row r="40" ht="22" customHeight="1">
      <x:c r="A40" s="479"/>
      <x:c r="B40" s="906" t="s">
        <x:v>248</x:v>
      </x:c>
      <x:c r="C40" s="907" t="s">
        <x:v>140</x:v>
      </x:c>
      <x:c r="D40" s="908"/>
      <x:c r="E40" s="890" t="s">
        <x:v>141</x:v>
      </x:c>
      <x:c r="F40" s="620"/>
      <x:c r="G40" s="890" t="s">
        <x:v>142</x:v>
      </x:c>
      <x:c r="H40" s="620"/>
      <x:c r="I40" s="890" t="s">
        <x:v>143</x:v>
      </x:c>
      <x:c r="J40" s="620"/>
      <x:c r="K40" s="890" t="s">
        <x:v>147</x:v>
      </x:c>
      <x:c r="L40" s="620"/>
      <x:c r="M40" s="890" t="s">
        <x:v>148</x:v>
      </x:c>
      <x:c r="N40" s="620"/>
      <x:c r="O40" s="890" t="s">
        <x:v>151</x:v>
      </x:c>
      <x:c r="P40" s="620"/>
      <x:c r="Q40" s="890" t="s">
        <x:v>150</x:v>
      </x:c>
      <x:c r="R40" s="620"/>
      <x:c r="S40" s="890" t="s">
        <x:v>249</x:v>
      </x:c>
      <x:c r="T40" s="620"/>
      <x:c r="U40" s="890" t="s">
        <x:v>250</x:v>
      </x:c>
      <x:c r="V40" s="620"/>
      <x:c r="W40" s="415"/>
      <x:c r="X40" s="415" t="s">
        <x:v>244</x:v>
      </x:c>
      <x:c r="Y40" s="415"/>
      <x:c r="Z40" s="415"/>
      <x:c r="AA40" s="415" t="s">
        <x:v>244</x:v>
      </x:c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  <x:c r="AM40" s="415"/>
      <x:c r="AN40" s="415"/>
      <x:c r="AO40" s="415"/>
      <x:c r="AP40" s="415"/>
      <x:c r="AQ40" s="415"/>
      <x:c r="AR40" s="415"/>
      <x:c r="AS40" s="415"/>
      <x:c r="AT40" s="415"/>
      <x:c r="AU40" s="415"/>
      <x:c r="AV40" s="415"/>
      <x:c r="AW40" s="415"/>
      <x:c r="AX40" s="415"/>
      <x:c r="AY40" s="415"/>
      <x:c r="AZ40" s="415"/>
      <x:c r="BA40" s="415"/>
      <x:c r="BB40" s="415"/>
      <x:c r="BC40" s="415"/>
      <x:c r="BD40" s="415"/>
      <x:c r="BE40" s="415"/>
      <x:c r="BF40" s="415"/>
      <x:c r="BG40" s="415"/>
      <x:c r="BH40" s="415"/>
      <x:c r="BI40" s="415"/>
      <x:c r="BJ40" s="415"/>
      <x:c r="BK40" s="415"/>
      <x:c r="BL40" s="415"/>
      <x:c r="BM40" s="415"/>
      <x:c r="BN40" s="415"/>
      <x:c r="BO40" s="415"/>
      <x:c r="BP40" s="415"/>
      <x:c r="BQ40" s="415"/>
      <x:c r="BR40" s="415"/>
      <x:c r="BS40" s="415"/>
      <x:c r="BT40" s="415"/>
      <x:c r="BU40" s="415"/>
      <x:c r="BV40" s="415"/>
      <x:c r="BW40" s="415"/>
      <x:c r="BX40" s="415"/>
      <x:c r="BY40" s="415"/>
      <x:c r="BZ40" s="415"/>
      <x:c r="CA40" s="415"/>
      <x:c r="CB40" s="415"/>
      <x:c r="CC40" s="415"/>
      <x:c r="CD40" s="415"/>
      <x:c r="CE40" s="415"/>
      <x:c r="CF40" s="415"/>
      <x:c r="CG40" s="415"/>
      <x:c r="CH40" s="415"/>
      <x:c r="CI40" s="415"/>
      <x:c r="CJ40" s="415"/>
      <x:c r="CK40" s="415"/>
      <x:c r="CL40" s="415"/>
      <x:c r="CM40" s="415"/>
    </x:row>
    <x:row r="41" ht="22" customHeight="1">
      <x:c r="A41" s="480"/>
      <x:c r="B41" s="816"/>
      <x:c r="C41" s="827" t="s">
        <x:v>251</x:v>
      </x:c>
      <x:c r="D41" s="828" t="s">
        <x:v>252</x:v>
      </x:c>
      <x:c r="E41" s="829" t="s">
        <x:v>251</x:v>
      </x:c>
      <x:c r="F41" s="830" t="s">
        <x:v>252</x:v>
      </x:c>
      <x:c r="G41" s="831" t="s">
        <x:v>251</x:v>
      </x:c>
      <x:c r="H41" s="832" t="s">
        <x:v>252</x:v>
      </x:c>
      <x:c r="I41" s="833" t="s">
        <x:v>251</x:v>
      </x:c>
      <x:c r="J41" s="834" t="s">
        <x:v>252</x:v>
      </x:c>
      <x:c r="K41" s="835" t="s">
        <x:v>251</x:v>
      </x:c>
      <x:c r="L41" s="835" t="s">
        <x:v>252</x:v>
      </x:c>
      <x:c r="M41" s="833" t="s">
        <x:v>251</x:v>
      </x:c>
      <x:c r="N41" s="834" t="s">
        <x:v>252</x:v>
      </x:c>
      <x:c r="O41" s="835" t="s">
        <x:v>251</x:v>
      </x:c>
      <x:c r="P41" s="836" t="s">
        <x:v>252</x:v>
      </x:c>
      <x:c r="Q41" s="832" t="s">
        <x:v>251</x:v>
      </x:c>
      <x:c r="R41" s="832" t="s">
        <x:v>252</x:v>
      </x:c>
      <x:c r="S41" s="837" t="s">
        <x:v>251</x:v>
      </x:c>
      <x:c r="T41" s="830" t="s">
        <x:v>252</x:v>
      </x:c>
      <x:c r="U41" s="833" t="s">
        <x:v>251</x:v>
      </x:c>
      <x:c r="V41" s="838" t="s">
        <x:v>252</x:v>
      </x:c>
      <x:c r="W41" s="383"/>
      <x:c r="X41" s="383" t="s">
        <x:v>244</x:v>
      </x:c>
      <x:c r="Y41" s="383"/>
      <x:c r="Z41" s="383"/>
      <x:c r="AA41" s="383"/>
      <x:c r="AB41" s="383"/>
      <x:c r="AC41" s="383"/>
      <x:c r="AD41" s="383"/>
      <x:c r="AE41" s="383"/>
      <x:c r="AF41" s="383"/>
      <x:c r="AG41" s="383"/>
      <x:c r="AH41" s="383"/>
      <x:c r="AI41" s="383"/>
      <x:c r="AJ41" s="383"/>
      <x:c r="AK41" s="383"/>
      <x:c r="AL41" s="383"/>
      <x:c r="AM41" s="383"/>
      <x:c r="AN41" s="383"/>
      <x:c r="AO41" s="383"/>
      <x:c r="AP41" s="383"/>
      <x:c r="AQ41" s="383"/>
      <x:c r="AR41" s="383"/>
      <x:c r="AS41" s="383"/>
      <x:c r="AT41" s="383"/>
      <x:c r="AU41" s="383"/>
      <x:c r="AV41" s="383"/>
      <x:c r="AW41" s="383"/>
      <x:c r="AX41" s="383"/>
      <x:c r="AY41" s="383"/>
      <x:c r="AZ41" s="383"/>
      <x:c r="BA41" s="383"/>
      <x:c r="BB41" s="383"/>
      <x:c r="BC41" s="383"/>
      <x:c r="BD41" s="383"/>
      <x:c r="BE41" s="383"/>
      <x:c r="BF41" s="383"/>
      <x:c r="BG41" s="383"/>
      <x:c r="BH41" s="383"/>
      <x:c r="BI41" s="383"/>
      <x:c r="BJ41" s="383"/>
      <x:c r="BK41" s="383"/>
      <x:c r="BL41" s="383"/>
      <x:c r="BM41" s="383"/>
      <x:c r="BN41" s="383"/>
      <x:c r="BO41" s="383"/>
      <x:c r="BP41" s="383"/>
      <x:c r="BQ41" s="383"/>
      <x:c r="BR41" s="383"/>
      <x:c r="BS41" s="383"/>
      <x:c r="BT41" s="383"/>
      <x:c r="BU41" s="383"/>
      <x:c r="BV41" s="383"/>
      <x:c r="BW41" s="383"/>
      <x:c r="BX41" s="383"/>
      <x:c r="BY41" s="383"/>
      <x:c r="BZ41" s="383"/>
      <x:c r="CA41" s="383"/>
      <x:c r="CB41" s="383"/>
      <x:c r="CC41" s="383"/>
      <x:c r="CD41" s="383"/>
      <x:c r="CE41" s="383"/>
      <x:c r="CF41" s="383"/>
      <x:c r="CG41" s="383"/>
      <x:c r="CH41" s="383"/>
      <x:c r="CI41" s="383"/>
      <x:c r="CJ41" s="383"/>
      <x:c r="CK41" s="383"/>
      <x:c r="CL41" s="383"/>
      <x:c r="CM41" s="383"/>
    </x:row>
    <x:row r="42" ht="22" customHeight="1">
      <x:c r="A42" s="894" t="s">
        <x:v>157</x:v>
      </x:c>
      <x:c r="B42" s="909" t="s">
        <x:v>17</x:v>
      </x:c>
      <x:c r="C42" s="910" t="n">
        <x:f>_xlfn.LET(_xlpm.r, MATCH($A42, Pivot!$A$11:$A$35, 0),_xlpm.c, MATCH(C$39, Pivot!$B$2:$EU$2, 0),IFERROR(INDEX(Pivot!$B$11:$EU$35, _xlpm.r, _xlpm.c), 0))</x:f>
        <x:v>255000</x:v>
      </x:c>
      <x:c r="D42" s="910" t="str">
        <x:f>_xlfn.LET(_xlpm.r, MATCH($A42, Pivot!$A$11:$A$35, 0),_xlpm.c, MATCH(D$39, Pivot!$B$2:$EU$2, 0),IFERROR(INDEX(Pivot!$B$11:$EU$35, _xlpm.r, _xlpm.c), 0))</x:f>
      </x:c>
      <x:c r="E42" s="911" t="n">
        <x:f>_xlfn.LET(_xlpm.r, MATCH($A42, Pivot!$A$11:$A$35, 0),_xlpm.c, MATCH(E$39, Pivot!$B$2:$EU$2, 0),IFERROR(INDEX(Pivot!$B$11:$EU$35, _xlpm.r, _xlpm.c), 0))</x:f>
        <x:v>1760000</x:v>
      </x:c>
      <x:c r="F42" s="911" t="str">
        <x:f>_xlfn.LET(_xlpm.r, MATCH($A42, Pivot!$A$11:$A$35, 0),_xlpm.c, MATCH(F$39, Pivot!$B$2:$EU$2, 0),IFERROR(INDEX(Pivot!$B$11:$EU$35, _xlpm.r, _xlpm.c), 0))</x:f>
      </x:c>
      <x:c r="G42" s="911" t="n">
        <x:f>_xlfn.LET(_xlpm.r, MATCH($A42, Pivot!$A$11:$A$35, 0),_xlpm.c, MATCH(G$39, Pivot!$B$2:$EU$2, 0),IFERROR(INDEX(Pivot!$B$11:$EU$35, _xlpm.r, _xlpm.c), 0))</x:f>
        <x:v>13952000</x:v>
      </x:c>
      <x:c r="H42" s="911" t="str">
        <x:f>_xlfn.LET(_xlpm.r, MATCH($A42, Pivot!$A$11:$A$35, 0),_xlpm.c, MATCH(H$39, Pivot!$B$2:$EU$2, 0),IFERROR(INDEX(Pivot!$B$11:$EU$35, _xlpm.r, _xlpm.c), 0))</x:f>
      </x:c>
      <x:c r="I42" s="911" t="n">
        <x:f>_xlfn.LET(_xlpm.r, MATCH($A42, Pivot!$A$11:$A$35, 0),_xlpm.c, MATCH(I$39, Pivot!$B$2:$EU$2, 0),IFERROR(INDEX(Pivot!$B$11:$EU$35, _xlpm.r, _xlpm.c), 0))</x:f>
        <x:v>182000</x:v>
      </x:c>
      <x:c r="J42" s="911" t="str">
        <x:f>_xlfn.LET(_xlpm.r, MATCH($A42, Pivot!$A$11:$A$35, 0),_xlpm.c, MATCH(J$39, Pivot!$B$2:$EU$2, 0),IFERROR(INDEX(Pivot!$B$11:$EU$35, _xlpm.r, _xlpm.c), 0))</x:f>
      </x:c>
      <x:c r="K42" s="911" t="n">
        <x:f>_xlfn.LET(_xlpm.r, MATCH($A42, Pivot!$A$11:$A$35, 0),_xlpm.c, MATCH(K$39, Pivot!$B$2:$EU$2, 0),IFERROR(INDEX(Pivot!$B$11:$EU$35, _xlpm.r, _xlpm.c), 0))</x:f>
        <x:v>1500000</x:v>
      </x:c>
      <x:c r="L42" s="911" t="e">
        <x:f>_xlfn.LET(_xlpm.r, MATCH($A42, Pivot!$A$11:$A$35, 0),_xlpm.c, MATCH(L$39, Pivot!$B$2:$EU$2, 0),IFERROR(INDEX(Pivot!$B$11:$EU$35, _xlpm.r, _xlpm.c), 0))</x:f>
        <x:v>#N/A</x:v>
      </x:c>
      <x:c r="M42" s="912" t="n">
        <x:f>_xlfn.LET(_xlpm.r, MATCH($A42, Pivot!$A$11:$A$35, 0),_xlpm.c, MATCH(M$39, Pivot!$B$2:$EU$2, 0),IFERROR(INDEX(Pivot!$B$11:$EU$35, _xlpm.r, _xlpm.c), 0))</x:f>
        <x:v>29477400</x:v>
      </x:c>
      <x:c r="N42" s="912" t="str">
        <x:f>_xlfn.LET(_xlpm.r, MATCH($A42, Pivot!$A$11:$A$35, 0),_xlpm.c, MATCH(N$39, Pivot!$B$2:$EU$2, 0),IFERROR(INDEX(Pivot!$B$11:$EU$35, _xlpm.r, _xlpm.c), 0))</x:f>
      </x:c>
      <x:c r="O42" s="911" t="n">
        <x:f>_xlfn.LET(_xlpm.r, MATCH($A42, Pivot!$A$11:$A$35, 0),_xlpm.c, MATCH(O$39, Pivot!$B$2:$EU$2, 0),IFERROR(INDEX(Pivot!$B$11:$EU$35, _xlpm.r, _xlpm.c), 0))</x:f>
        <x:v>696000</x:v>
      </x:c>
      <x:c r="P42" s="911" t="str">
        <x:f>_xlfn.LET(_xlpm.r, MATCH($A42, Pivot!$A$11:$A$35, 0),_xlpm.c, MATCH(P$39, Pivot!$B$2:$EU$2, 0),IFERROR(INDEX(Pivot!$B$11:$EU$35, _xlpm.r, _xlpm.c), 0))</x:f>
      </x:c>
      <x:c r="Q42" s="911" t="n">
        <x:f>_xlfn.LET(_xlpm.r, MATCH($A42, Pivot!$A$11:$A$35, 0),_xlpm.c, MATCH(Q$39, Pivot!$B$2:$EU$2, 0),IFERROR(INDEX(Pivot!$B$11:$EU$35, _xlpm.r, _xlpm.c), 0))</x:f>
        <x:v>690000</x:v>
      </x:c>
      <x:c r="R42" s="911" t="str">
        <x:f>_xlfn.LET(_xlpm.r, MATCH($A42, Pivot!$A$11:$A$35, 0),_xlpm.c, MATCH(R$39, Pivot!$B$2:$EU$2, 0),IFERROR(INDEX(Pivot!$B$11:$EU$35, _xlpm.r, _xlpm.c), 0))</x:f>
      </x:c>
      <x:c r="S42" s="911" t="e">
        <x:f>_xlfn.LET(_xlpm.r, MATCH($A42, Pivot!$A$11:$A$35, 0),_xlpm.c, MATCH(S$39, Pivot!$B$2:$EU$2, 0),IFERROR(INDEX(Pivot!$B$11:$EU$35, _xlpm.r, _xlpm.c), 0))</x:f>
        <x:v>#N/A</x:v>
      </x:c>
      <x:c r="T42" s="911" t="e">
        <x:f>_xlfn.LET(_xlpm.r, MATCH($A42, Pivot!$A$11:$A$35, 0),_xlpm.c, MATCH(T$39, Pivot!$B$2:$EU$2, 0),IFERROR(INDEX(Pivot!$B$11:$EU$35, _xlpm.r, _xlpm.c), 0))</x:f>
        <x:v>#N/A</x:v>
      </x:c>
      <x:c r="U42" s="912" t="e">
        <x:f>_xlfn.LET(_xlpm.r, MATCH($A42, Pivot!$A$11:$A$35, 0),_xlpm.c, MATCH(U$39, Pivot!$B$2:$EU$2, 0),IFERROR(INDEX(Pivot!$B$11:$EU$35, _xlpm.r, _xlpm.c), 0))</x:f>
        <x:v>#N/A</x:v>
      </x:c>
      <x:c r="V42" s="913" t="e">
        <x:f>_xlfn.LET(_xlpm.r, MATCH($A42, Pivot!$A$11:$A$35, 0),_xlpm.c, MATCH(V$39, Pivot!$B$2:$EU$2, 0),IFERROR(INDEX(Pivot!$B$11:$EU$35, _xlpm.r, _xlpm.c), 0))</x:f>
        <x:v>#N/A</x:v>
      </x:c>
      <x:c r="W42" s="415"/>
      <x:c r="X42" s="415"/>
      <x:c r="Y42" s="631"/>
      <x:c r="Z42" s="631"/>
      <x:c r="AA42" s="631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  <x:c r="AM42" s="415"/>
      <x:c r="AN42" s="415"/>
      <x:c r="AO42" s="415"/>
      <x:c r="AP42" s="415"/>
      <x:c r="AQ42" s="415"/>
      <x:c r="AR42" s="415"/>
      <x:c r="AS42" s="415"/>
      <x:c r="AT42" s="415"/>
      <x:c r="AU42" s="415"/>
      <x:c r="AV42" s="415"/>
      <x:c r="AW42" s="415"/>
      <x:c r="AX42" s="415"/>
      <x:c r="AY42" s="415"/>
      <x:c r="AZ42" s="415"/>
      <x:c r="BA42" s="415"/>
      <x:c r="BB42" s="415"/>
      <x:c r="BC42" s="415"/>
      <x:c r="BD42" s="415"/>
      <x:c r="BE42" s="415"/>
      <x:c r="BF42" s="415"/>
      <x:c r="BG42" s="415"/>
      <x:c r="BH42" s="415"/>
      <x:c r="BI42" s="415"/>
      <x:c r="BJ42" s="415"/>
      <x:c r="BK42" s="415"/>
      <x:c r="BL42" s="415"/>
      <x:c r="BM42" s="415"/>
      <x:c r="BN42" s="415"/>
      <x:c r="BO42" s="415"/>
      <x:c r="BP42" s="415"/>
      <x:c r="BQ42" s="415"/>
      <x:c r="BR42" s="415"/>
      <x:c r="BS42" s="415"/>
      <x:c r="BT42" s="415"/>
      <x:c r="BU42" s="415"/>
      <x:c r="BV42" s="415"/>
      <x:c r="BW42" s="415"/>
      <x:c r="BX42" s="415"/>
      <x:c r="BY42" s="415"/>
      <x:c r="BZ42" s="415"/>
      <x:c r="CA42" s="415"/>
      <x:c r="CB42" s="415"/>
      <x:c r="CC42" s="415"/>
      <x:c r="CD42" s="415"/>
      <x:c r="CE42" s="415"/>
      <x:c r="CF42" s="415"/>
      <x:c r="CG42" s="415"/>
      <x:c r="CH42" s="415"/>
      <x:c r="CI42" s="415"/>
      <x:c r="CJ42" s="415"/>
      <x:c r="CK42" s="415"/>
      <x:c r="CL42" s="415"/>
      <x:c r="CM42" s="415"/>
    </x:row>
    <x:row r="43" ht="22" customHeight="1">
      <x:c r="A43" s="839" t="s">
        <x:v>164</x:v>
      </x:c>
      <x:c r="B43" s="840" t="s">
        <x:v>29</x:v>
      </x:c>
      <x:c r="C43" s="827" t="n">
        <x:f>_xlfn.LET(_xlpm.r, MATCH($A43, Pivot!$A$11:$A$35, 0),_xlpm.c, MATCH(C$39, Pivot!$B$2:$EU$2, 0),IFERROR(INDEX(Pivot!$B$11:$EU$35, _xlpm.r, _xlpm.c), 0))</x:f>
        <x:v>150000</x:v>
      </x:c>
      <x:c r="D43" s="827" t="n">
        <x:f>_xlfn.LET(_xlpm.r, MATCH($A43, Pivot!$A$11:$A$35, 0),_xlpm.c, MATCH(D$39, Pivot!$B$2:$EU$2, 0),IFERROR(INDEX(Pivot!$B$11:$EU$35, _xlpm.r, _xlpm.c), 0))</x:f>
        <x:v>1215000</x:v>
      </x:c>
      <x:c r="E43" s="841" t="n">
        <x:f>_xlfn.LET(_xlpm.r, MATCH($A43, Pivot!$A$11:$A$35, 0),_xlpm.c, MATCH(E$39, Pivot!$B$2:$EU$2, 0),IFERROR(INDEX(Pivot!$B$11:$EU$35, _xlpm.r, _xlpm.c), 0))</x:f>
        <x:v>440000</x:v>
      </x:c>
      <x:c r="F43" s="841" t="n">
        <x:f>_xlfn.LET(_xlpm.r, MATCH($A43, Pivot!$A$11:$A$35, 0),_xlpm.c, MATCH(F$39, Pivot!$B$2:$EU$2, 0),IFERROR(INDEX(Pivot!$B$11:$EU$35, _xlpm.r, _xlpm.c), 0))</x:f>
        <x:v>6517500</x:v>
      </x:c>
      <x:c r="G43" s="842" t="n">
        <x:f>_xlfn.LET(_xlpm.r, MATCH($A43, Pivot!$A$11:$A$35, 0),_xlpm.c, MATCH(G$39, Pivot!$B$2:$EU$2, 0),IFERROR(INDEX(Pivot!$B$11:$EU$35, _xlpm.r, _xlpm.c), 0))</x:f>
        <x:v>960000</x:v>
      </x:c>
      <x:c r="H43" s="842" t="n">
        <x:f>_xlfn.LET(_xlpm.r, MATCH($A43, Pivot!$A$11:$A$35, 0),_xlpm.c, MATCH(H$39, Pivot!$B$2:$EU$2, 0),IFERROR(INDEX(Pivot!$B$11:$EU$35, _xlpm.r, _xlpm.c), 0))</x:f>
        <x:v>13120000</x:v>
      </x:c>
      <x:c r="I43" s="843" t="str">
        <x:f>_xlfn.LET(_xlpm.r, MATCH($A43, Pivot!$A$11:$A$35, 0),_xlpm.c, MATCH(I$39, Pivot!$B$2:$EU$2, 0),IFERROR(INDEX(Pivot!$B$11:$EU$35, _xlpm.r, _xlpm.c), 0))</x:f>
      </x:c>
      <x:c r="J43" s="843" t="n">
        <x:f>_xlfn.LET(_xlpm.r, MATCH($A43, Pivot!$A$11:$A$35, 0),_xlpm.c, MATCH(J$39, Pivot!$B$2:$EU$2, 0),IFERROR(INDEX(Pivot!$B$11:$EU$35, _xlpm.r, _xlpm.c), 0))</x:f>
        <x:v>5824000</x:v>
      </x:c>
      <x:c r="K43" s="844" t="str">
        <x:f>_xlfn.LET(_xlpm.r, MATCH($A43, Pivot!$A$11:$A$35, 0),_xlpm.c, MATCH(K$39, Pivot!$B$2:$EU$2, 0),IFERROR(INDEX(Pivot!$B$11:$EU$35, _xlpm.r, _xlpm.c), 0))</x:f>
      </x:c>
      <x:c r="L43" s="844" t="e">
        <x:f>_xlfn.LET(_xlpm.r, MATCH($A43, Pivot!$A$11:$A$35, 0),_xlpm.c, MATCH(L$39, Pivot!$B$2:$EU$2, 0),IFERROR(INDEX(Pivot!$B$11:$EU$35, _xlpm.r, _xlpm.c), 0))</x:f>
        <x:v>#N/A</x:v>
      </x:c>
      <x:c r="M43" s="845" t="n">
        <x:f>_xlfn.LET(_xlpm.r, MATCH($A43, Pivot!$A$11:$A$35, 0),_xlpm.c, MATCH(M$39, Pivot!$B$2:$EU$2, 0),IFERROR(INDEX(Pivot!$B$11:$EU$35, _xlpm.r, _xlpm.c), 0))</x:f>
        <x:v>8188600</x:v>
      </x:c>
      <x:c r="N43" s="845" t="n">
        <x:f>_xlfn.LET(_xlpm.r, MATCH($A43, Pivot!$A$11:$A$35, 0),_xlpm.c, MATCH(N$39, Pivot!$B$2:$EU$2, 0),IFERROR(INDEX(Pivot!$B$11:$EU$35, _xlpm.r, _xlpm.c), 0))</x:f>
        <x:v>68788400</x:v>
      </x:c>
      <x:c r="O43" s="844" t="str">
        <x:f>_xlfn.LET(_xlpm.r, MATCH($A43, Pivot!$A$11:$A$35, 0),_xlpm.c, MATCH(O$39, Pivot!$B$2:$EU$2, 0),IFERROR(INDEX(Pivot!$B$11:$EU$35, _xlpm.r, _xlpm.c), 0))</x:f>
      </x:c>
      <x:c r="P43" s="844" t="n">
        <x:f>_xlfn.LET(_xlpm.r, MATCH($A43, Pivot!$A$11:$A$35, 0),_xlpm.c, MATCH(P$39, Pivot!$B$2:$EU$2, 0),IFERROR(INDEX(Pivot!$B$11:$EU$35, _xlpm.r, _xlpm.c), 0))</x:f>
        <x:v>2088000</x:v>
      </x:c>
      <x:c r="Q43" s="842" t="n">
        <x:f>_xlfn.LET(_xlpm.r, MATCH($A43, Pivot!$A$11:$A$35, 0),_xlpm.c, MATCH(Q$39, Pivot!$B$2:$EU$2, 0),IFERROR(INDEX(Pivot!$B$11:$EU$35, _xlpm.r, _xlpm.c), 0))</x:f>
        <x:v>230000</x:v>
      </x:c>
      <x:c r="R43" s="842" t="n">
        <x:f>_xlfn.LET(_xlpm.r, MATCH($A43, Pivot!$A$11:$A$35, 0),_xlpm.c, MATCH(R$39, Pivot!$B$2:$EU$2, 0),IFERROR(INDEX(Pivot!$B$11:$EU$35, _xlpm.r, _xlpm.c), 0))</x:f>
        <x:v>3680000</x:v>
      </x:c>
      <x:c r="S43" s="841" t="e">
        <x:f>_xlfn.LET(_xlpm.r, MATCH($A43, Pivot!$A$11:$A$35, 0),_xlpm.c, MATCH(S$39, Pivot!$B$2:$EU$2, 0),IFERROR(INDEX(Pivot!$B$11:$EU$35, _xlpm.r, _xlpm.c), 0))</x:f>
        <x:v>#N/A</x:v>
      </x:c>
      <x:c r="T43" s="841" t="e">
        <x:f>_xlfn.LET(_xlpm.r, MATCH($A43, Pivot!$A$11:$A$35, 0),_xlpm.c, MATCH(T$39, Pivot!$B$2:$EU$2, 0),IFERROR(INDEX(Pivot!$B$11:$EU$35, _xlpm.r, _xlpm.c), 0))</x:f>
        <x:v>#N/A</x:v>
      </x:c>
      <x:c r="U43" s="845" t="e">
        <x:f>_xlfn.LET(_xlpm.r, MATCH($A43, Pivot!$A$11:$A$35, 0),_xlpm.c, MATCH(U$39, Pivot!$B$2:$EU$2, 0),IFERROR(INDEX(Pivot!$B$11:$EU$35, _xlpm.r, _xlpm.c), 0))</x:f>
        <x:v>#N/A</x:v>
      </x:c>
      <x:c r="V43" s="846" t="e">
        <x:f>_xlfn.LET(_xlpm.r, MATCH($A43, Pivot!$A$11:$A$35, 0),_xlpm.c, MATCH(V$39, Pivot!$B$2:$EU$2, 0),IFERROR(INDEX(Pivot!$B$11:$EU$35, _xlpm.r, _xlpm.c), 0))</x:f>
        <x:v>#N/A</x:v>
      </x:c>
      <x:c r="W43" s="383"/>
      <x:c r="X43" s="383"/>
      <x:c r="Y43" s="594"/>
      <x:c r="Z43" s="594"/>
      <x:c r="AA43" s="594"/>
      <x:c r="AB43" s="383"/>
      <x:c r="AC43" s="383"/>
      <x:c r="AD43" s="383"/>
      <x:c r="AE43" s="383"/>
      <x:c r="AF43" s="383"/>
      <x:c r="AG43" s="383"/>
      <x:c r="AH43" s="383"/>
      <x:c r="AI43" s="383"/>
      <x:c r="AJ43" s="383"/>
      <x:c r="AK43" s="383"/>
      <x:c r="AL43" s="383"/>
      <x:c r="AM43" s="383"/>
      <x:c r="AN43" s="383"/>
      <x:c r="AO43" s="383"/>
      <x:c r="AP43" s="383"/>
      <x:c r="AQ43" s="383"/>
      <x:c r="AR43" s="383"/>
      <x:c r="AS43" s="383"/>
      <x:c r="AT43" s="383"/>
      <x:c r="AU43" s="383"/>
      <x:c r="AV43" s="383"/>
      <x:c r="AW43" s="383"/>
      <x:c r="AX43" s="383"/>
      <x:c r="AY43" s="383"/>
      <x:c r="AZ43" s="383"/>
      <x:c r="BA43" s="383"/>
      <x:c r="BB43" s="383"/>
      <x:c r="BC43" s="383"/>
      <x:c r="BD43" s="383"/>
      <x:c r="BE43" s="383"/>
      <x:c r="BF43" s="383"/>
      <x:c r="BG43" s="383"/>
      <x:c r="BH43" s="383"/>
      <x:c r="BI43" s="383"/>
      <x:c r="BJ43" s="383"/>
      <x:c r="BK43" s="383"/>
      <x:c r="BL43" s="383"/>
      <x:c r="BM43" s="383"/>
      <x:c r="BN43" s="383"/>
      <x:c r="BO43" s="383"/>
      <x:c r="BP43" s="383"/>
      <x:c r="BQ43" s="383"/>
      <x:c r="BR43" s="383"/>
      <x:c r="BS43" s="383"/>
      <x:c r="BT43" s="383"/>
      <x:c r="BU43" s="383"/>
      <x:c r="BV43" s="383"/>
      <x:c r="BW43" s="383"/>
      <x:c r="BX43" s="383"/>
      <x:c r="BY43" s="383"/>
      <x:c r="BZ43" s="383"/>
      <x:c r="CA43" s="383"/>
      <x:c r="CB43" s="383"/>
      <x:c r="CC43" s="383"/>
      <x:c r="CD43" s="383"/>
      <x:c r="CE43" s="383"/>
      <x:c r="CF43" s="383"/>
      <x:c r="CG43" s="383"/>
      <x:c r="CH43" s="383"/>
      <x:c r="CI43" s="383"/>
      <x:c r="CJ43" s="383"/>
      <x:c r="CK43" s="383"/>
      <x:c r="CL43" s="383"/>
      <x:c r="CM43" s="383"/>
    </x:row>
    <x:row r="44" ht="22" customHeight="1">
      <x:c r="A44" s="894" t="s">
        <x:v>160</x:v>
      </x:c>
      <x:c r="B44" s="909" t="s">
        <x:v>189</x:v>
      </x:c>
      <x:c r="C44" s="910" t="n">
        <x:f>_xlfn.LET(_xlpm.r, MATCH($A44, Pivot!$A$11:$A$35, 0),_xlpm.c, MATCH(C$39, Pivot!$B$2:$EU$2, 0),IFERROR(INDEX(Pivot!$B$11:$EU$35, _xlpm.r, _xlpm.c), 0))</x:f>
        <x:v>30000</x:v>
      </x:c>
      <x:c r="D44" s="910" t="n">
        <x:f>_xlfn.LET(_xlpm.r, MATCH($A44, Pivot!$A$11:$A$35, 0),_xlpm.c, MATCH(D$39, Pivot!$B$2:$EU$2, 0),IFERROR(INDEX(Pivot!$B$11:$EU$35, _xlpm.r, _xlpm.c), 0))</x:f>
        <x:v>1545000</x:v>
      </x:c>
      <x:c r="E44" s="911" t="n">
        <x:f>_xlfn.LET(_xlpm.r, MATCH($A44, Pivot!$A$11:$A$35, 0),_xlpm.c, MATCH(E$39, Pivot!$B$2:$EU$2, 0),IFERROR(INDEX(Pivot!$B$11:$EU$35, _xlpm.r, _xlpm.c), 0))</x:f>
        <x:v>467500</x:v>
      </x:c>
      <x:c r="F44" s="911" t="n">
        <x:f>_xlfn.LET(_xlpm.r, MATCH($A44, Pivot!$A$11:$A$35, 0),_xlpm.c, MATCH(F$39, Pivot!$B$2:$EU$2, 0),IFERROR(INDEX(Pivot!$B$11:$EU$35, _xlpm.r, _xlpm.c), 0))</x:f>
        <x:v>16186500</x:v>
      </x:c>
      <x:c r="G44" s="911" t="n">
        <x:f>_xlfn.LET(_xlpm.r, MATCH($A44, Pivot!$A$11:$A$35, 0),_xlpm.c, MATCH(G$39, Pivot!$B$2:$EU$2, 0),IFERROR(INDEX(Pivot!$B$11:$EU$35, _xlpm.r, _xlpm.c), 0))</x:f>
        <x:v>512000</x:v>
      </x:c>
      <x:c r="H44" s="911" t="n">
        <x:f>_xlfn.LET(_xlpm.r, MATCH($A44, Pivot!$A$11:$A$35, 0),_xlpm.c, MATCH(H$39, Pivot!$B$2:$EU$2, 0),IFERROR(INDEX(Pivot!$B$11:$EU$35, _xlpm.r, _xlpm.c), 0))</x:f>
        <x:v>21952000</x:v>
      </x:c>
      <x:c r="I44" s="911" t="n">
        <x:f>_xlfn.LET(_xlpm.r, MATCH($A44, Pivot!$A$11:$A$35, 0),_xlpm.c, MATCH(I$39, Pivot!$B$2:$EU$2, 0),IFERROR(INDEX(Pivot!$B$11:$EU$35, _xlpm.r, _xlpm.c), 0))</x:f>
        <x:v>1183000</x:v>
      </x:c>
      <x:c r="J44" s="911" t="n">
        <x:f>_xlfn.LET(_xlpm.r, MATCH($A44, Pivot!$A$11:$A$35, 0),_xlpm.c, MATCH(J$39, Pivot!$B$2:$EU$2, 0),IFERROR(INDEX(Pivot!$B$11:$EU$35, _xlpm.r, _xlpm.c), 0))</x:f>
        <x:v>18291000</x:v>
      </x:c>
      <x:c r="K44" s="911" t="n">
        <x:f>_xlfn.LET(_xlpm.r, MATCH($A44, Pivot!$A$11:$A$35, 0),_xlpm.c, MATCH(K$39, Pivot!$B$2:$EU$2, 0),IFERROR(INDEX(Pivot!$B$11:$EU$35, _xlpm.r, _xlpm.c), 0))</x:f>
        <x:v>150000</x:v>
      </x:c>
      <x:c r="L44" s="911" t="e">
        <x:f>_xlfn.LET(_xlpm.r, MATCH($A44, Pivot!$A$11:$A$35, 0),_xlpm.c, MATCH(L$39, Pivot!$B$2:$EU$2, 0),IFERROR(INDEX(Pivot!$B$11:$EU$35, _xlpm.r, _xlpm.c), 0))</x:f>
        <x:v>#N/A</x:v>
      </x:c>
      <x:c r="M44" s="912" t="n">
        <x:f>_xlfn.LET(_xlpm.r, MATCH($A44, Pivot!$A$11:$A$35, 0),_xlpm.c, MATCH(M$39, Pivot!$B$2:$EU$2, 0),IFERROR(INDEX(Pivot!$B$11:$EU$35, _xlpm.r, _xlpm.c), 0))</x:f>
        <x:v>7485000</x:v>
      </x:c>
      <x:c r="N44" s="912" t="n">
        <x:f>_xlfn.LET(_xlpm.r, MATCH($A44, Pivot!$A$11:$A$35, 0),_xlpm.c, MATCH(N$39, Pivot!$B$2:$EU$2, 0),IFERROR(INDEX(Pivot!$B$11:$EU$35, _xlpm.r, _xlpm.c), 0))</x:f>
        <x:v>169114200</x:v>
      </x:c>
      <x:c r="O44" s="911" t="n">
        <x:f>_xlfn.LET(_xlpm.r, MATCH($A44, Pivot!$A$11:$A$35, 0),_xlpm.c, MATCH(O$39, Pivot!$B$2:$EU$2, 0),IFERROR(INDEX(Pivot!$B$11:$EU$35, _xlpm.r, _xlpm.c), 0))</x:f>
        <x:v>1856000</x:v>
      </x:c>
      <x:c r="P44" s="911" t="n">
        <x:f>_xlfn.LET(_xlpm.r, MATCH($A44, Pivot!$A$11:$A$35, 0),_xlpm.c, MATCH(P$39, Pivot!$B$2:$EU$2, 0),IFERROR(INDEX(Pivot!$B$11:$EU$35, _xlpm.r, _xlpm.c), 0))</x:f>
        <x:v>5336000</x:v>
      </x:c>
      <x:c r="Q44" s="911" t="n">
        <x:f>_xlfn.LET(_xlpm.r, MATCH($A44, Pivot!$A$11:$A$35, 0),_xlpm.c, MATCH(Q$39, Pivot!$B$2:$EU$2, 0),IFERROR(INDEX(Pivot!$B$11:$EU$35, _xlpm.r, _xlpm.c), 0))</x:f>
        <x:v>690000</x:v>
      </x:c>
      <x:c r="R44" s="911" t="n">
        <x:f>_xlfn.LET(_xlpm.r, MATCH($A44, Pivot!$A$11:$A$35, 0),_xlpm.c, MATCH(R$39, Pivot!$B$2:$EU$2, 0),IFERROR(INDEX(Pivot!$B$11:$EU$35, _xlpm.r, _xlpm.c), 0))</x:f>
        <x:v>5060000</x:v>
      </x:c>
      <x:c r="S44" s="911" t="e">
        <x:f>_xlfn.LET(_xlpm.r, MATCH($A44, Pivot!$A$11:$A$35, 0),_xlpm.c, MATCH(S$39, Pivot!$B$2:$EU$2, 0),IFERROR(INDEX(Pivot!$B$11:$EU$35, _xlpm.r, _xlpm.c), 0))</x:f>
        <x:v>#N/A</x:v>
      </x:c>
      <x:c r="T44" s="911" t="e">
        <x:f>_xlfn.LET(_xlpm.r, MATCH($A44, Pivot!$A$11:$A$35, 0),_xlpm.c, MATCH(T$39, Pivot!$B$2:$EU$2, 0),IFERROR(INDEX(Pivot!$B$11:$EU$35, _xlpm.r, _xlpm.c), 0))</x:f>
        <x:v>#N/A</x:v>
      </x:c>
      <x:c r="U44" s="912" t="e">
        <x:f>_xlfn.LET(_xlpm.r, MATCH($A44, Pivot!$A$11:$A$35, 0),_xlpm.c, MATCH(U$39, Pivot!$B$2:$EU$2, 0),IFERROR(INDEX(Pivot!$B$11:$EU$35, _xlpm.r, _xlpm.c), 0))</x:f>
        <x:v>#N/A</x:v>
      </x:c>
      <x:c r="V44" s="913" t="e">
        <x:f>_xlfn.LET(_xlpm.r, MATCH($A44, Pivot!$A$11:$A$35, 0),_xlpm.c, MATCH(V$39, Pivot!$B$2:$EU$2, 0),IFERROR(INDEX(Pivot!$B$11:$EU$35, _xlpm.r, _xlpm.c), 0))</x:f>
        <x:v>#N/A</x:v>
      </x:c>
      <x:c r="W44" s="415"/>
      <x:c r="X44" s="415"/>
      <x:c r="Y44" s="631"/>
      <x:c r="Z44" s="631"/>
      <x:c r="AA44" s="631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  <x:c r="AM44" s="415"/>
      <x:c r="AN44" s="415"/>
      <x:c r="AO44" s="415"/>
      <x:c r="AP44" s="415"/>
      <x:c r="AQ44" s="415"/>
      <x:c r="AR44" s="415"/>
      <x:c r="AS44" s="415"/>
      <x:c r="AT44" s="415"/>
      <x:c r="AU44" s="415"/>
      <x:c r="AV44" s="415"/>
      <x:c r="AW44" s="415"/>
      <x:c r="AX44" s="415"/>
      <x:c r="AY44" s="415"/>
      <x:c r="AZ44" s="415"/>
      <x:c r="BA44" s="415"/>
      <x:c r="BB44" s="415"/>
      <x:c r="BC44" s="415"/>
      <x:c r="BD44" s="415"/>
      <x:c r="BE44" s="415"/>
      <x:c r="BF44" s="415"/>
      <x:c r="BG44" s="415"/>
      <x:c r="BH44" s="415"/>
      <x:c r="BI44" s="415"/>
      <x:c r="BJ44" s="415"/>
      <x:c r="BK44" s="415"/>
      <x:c r="BL44" s="415"/>
      <x:c r="BM44" s="415"/>
      <x:c r="BN44" s="415"/>
      <x:c r="BO44" s="415"/>
      <x:c r="BP44" s="415"/>
      <x:c r="BQ44" s="415"/>
      <x:c r="BR44" s="415"/>
      <x:c r="BS44" s="415"/>
      <x:c r="BT44" s="415"/>
      <x:c r="BU44" s="415"/>
      <x:c r="BV44" s="415"/>
      <x:c r="BW44" s="415"/>
      <x:c r="BX44" s="415"/>
      <x:c r="BY44" s="415"/>
      <x:c r="BZ44" s="415"/>
      <x:c r="CA44" s="415"/>
      <x:c r="CB44" s="415"/>
      <x:c r="CC44" s="415"/>
      <x:c r="CD44" s="415"/>
      <x:c r="CE44" s="415"/>
      <x:c r="CF44" s="415"/>
      <x:c r="CG44" s="415"/>
      <x:c r="CH44" s="415"/>
      <x:c r="CI44" s="415"/>
      <x:c r="CJ44" s="415"/>
      <x:c r="CK44" s="415"/>
      <x:c r="CL44" s="415"/>
      <x:c r="CM44" s="415"/>
    </x:row>
    <x:row r="45" ht="22" customHeight="1">
      <x:c r="A45" s="839" t="s">
        <x:v>169</x:v>
      </x:c>
      <x:c r="B45" s="840" t="s">
        <x:v>191</x:v>
      </x:c>
      <x:c r="C45" s="827" t="n">
        <x:f>_xlfn.LET(_xlpm.r, MATCH($A45, Pivot!$A$11:$A$35, 0),_xlpm.c, MATCH(C$39, Pivot!$B$2:$EU$2, 0),IFERROR(INDEX(Pivot!$B$11:$EU$35, _xlpm.r, _xlpm.c), 0))</x:f>
        <x:v>30000</x:v>
      </x:c>
      <x:c r="D45" s="827" t="n">
        <x:f>_xlfn.LET(_xlpm.r, MATCH($A45, Pivot!$A$11:$A$35, 0),_xlpm.c, MATCH(D$39, Pivot!$B$2:$EU$2, 0),IFERROR(INDEX(Pivot!$B$11:$EU$35, _xlpm.r, _xlpm.c), 0))</x:f>
        <x:v>765000</x:v>
      </x:c>
      <x:c r="E45" s="841" t="n">
        <x:f>_xlfn.LET(_xlpm.r, MATCH($A45, Pivot!$A$11:$A$35, 0),_xlpm.c, MATCH(E$39, Pivot!$B$2:$EU$2, 0),IFERROR(INDEX(Pivot!$B$11:$EU$35, _xlpm.r, _xlpm.c), 0))</x:f>
        <x:v>440000</x:v>
      </x:c>
      <x:c r="F45" s="841" t="n">
        <x:f>_xlfn.LET(_xlpm.r, MATCH($A45, Pivot!$A$11:$A$35, 0),_xlpm.c, MATCH(F$39, Pivot!$B$2:$EU$2, 0),IFERROR(INDEX(Pivot!$B$11:$EU$35, _xlpm.r, _xlpm.c), 0))</x:f>
        <x:v>14778500</x:v>
      </x:c>
      <x:c r="G45" s="842" t="n">
        <x:f>_xlfn.LET(_xlpm.r, MATCH($A45, Pivot!$A$11:$A$35, 0),_xlpm.c, MATCH(G$39, Pivot!$B$2:$EU$2, 0),IFERROR(INDEX(Pivot!$B$11:$EU$35, _xlpm.r, _xlpm.c), 0))</x:f>
        <x:v>2880000</x:v>
      </x:c>
      <x:c r="H45" s="842" t="n">
        <x:f>_xlfn.LET(_xlpm.r, MATCH($A45, Pivot!$A$11:$A$35, 0),_xlpm.c, MATCH(H$39, Pivot!$B$2:$EU$2, 0),IFERROR(INDEX(Pivot!$B$11:$EU$35, _xlpm.r, _xlpm.c), 0))</x:f>
        <x:v>15424000</x:v>
      </x:c>
      <x:c r="I45" s="843" t="n">
        <x:f>_xlfn.LET(_xlpm.r, MATCH($A45, Pivot!$A$11:$A$35, 0),_xlpm.c, MATCH(I$39, Pivot!$B$2:$EU$2, 0),IFERROR(INDEX(Pivot!$B$11:$EU$35, _xlpm.r, _xlpm.c), 0))</x:f>
        <x:v>637000</x:v>
      </x:c>
      <x:c r="J45" s="843" t="n">
        <x:f>_xlfn.LET(_xlpm.r, MATCH($A45, Pivot!$A$11:$A$35, 0),_xlpm.c, MATCH(J$39, Pivot!$B$2:$EU$2, 0),IFERROR(INDEX(Pivot!$B$11:$EU$35, _xlpm.r, _xlpm.c), 0))</x:f>
        <x:v>11375000</x:v>
      </x:c>
      <x:c r="K45" s="844" t="n">
        <x:f>_xlfn.LET(_xlpm.r, MATCH($A45, Pivot!$A$11:$A$35, 0),_xlpm.c, MATCH(K$39, Pivot!$B$2:$EU$2, 0),IFERROR(INDEX(Pivot!$B$11:$EU$35, _xlpm.r, _xlpm.c), 0))</x:f>
        <x:v>450000</x:v>
      </x:c>
      <x:c r="L45" s="844" t="e">
        <x:f>_xlfn.LET(_xlpm.r, MATCH($A45, Pivot!$A$11:$A$35, 0),_xlpm.c, MATCH(L$39, Pivot!$B$2:$EU$2, 0),IFERROR(INDEX(Pivot!$B$11:$EU$35, _xlpm.r, _xlpm.c), 0))</x:f>
        <x:v>#N/A</x:v>
      </x:c>
      <x:c r="M45" s="845" t="n">
        <x:f>_xlfn.LET(_xlpm.r, MATCH($A45, Pivot!$A$11:$A$35, 0),_xlpm.c, MATCH(M$39, Pivot!$B$2:$EU$2, 0),IFERROR(INDEX(Pivot!$B$11:$EU$35, _xlpm.r, _xlpm.c), 0))</x:f>
        <x:v>11037400</x:v>
      </x:c>
      <x:c r="N45" s="845" t="n">
        <x:f>_xlfn.LET(_xlpm.r, MATCH($A45, Pivot!$A$11:$A$35, 0),_xlpm.c, MATCH(N$39, Pivot!$B$2:$EU$2, 0),IFERROR(INDEX(Pivot!$B$11:$EU$35, _xlpm.r, _xlpm.c), 0))</x:f>
        <x:v>121281600</x:v>
      </x:c>
      <x:c r="O45" s="844" t="n">
        <x:f>_xlfn.LET(_xlpm.r, MATCH($A45, Pivot!$A$11:$A$35, 0),_xlpm.c, MATCH(O$39, Pivot!$B$2:$EU$2, 0),IFERROR(INDEX(Pivot!$B$11:$EU$35, _xlpm.r, _xlpm.c), 0))</x:f>
        <x:v>1856000</x:v>
      </x:c>
      <x:c r="P45" s="844" t="n">
        <x:f>_xlfn.LET(_xlpm.r, MATCH($A45, Pivot!$A$11:$A$35, 0),_xlpm.c, MATCH(P$39, Pivot!$B$2:$EU$2, 0),IFERROR(INDEX(Pivot!$B$11:$EU$35, _xlpm.r, _xlpm.c), 0))</x:f>
        <x:v>15544000</x:v>
      </x:c>
      <x:c r="Q45" s="842" t="n">
        <x:f>_xlfn.LET(_xlpm.r, MATCH($A45, Pivot!$A$11:$A$35, 0),_xlpm.c, MATCH(Q$39, Pivot!$B$2:$EU$2, 0),IFERROR(INDEX(Pivot!$B$11:$EU$35, _xlpm.r, _xlpm.c), 0))</x:f>
        <x:v>230000</x:v>
      </x:c>
      <x:c r="R45" s="842" t="n">
        <x:f>_xlfn.LET(_xlpm.r, MATCH($A45, Pivot!$A$11:$A$35, 0),_xlpm.c, MATCH(R$39, Pivot!$B$2:$EU$2, 0),IFERROR(INDEX(Pivot!$B$11:$EU$35, _xlpm.r, _xlpm.c), 0))</x:f>
        <x:v>4830000</x:v>
      </x:c>
      <x:c r="S45" s="841" t="e">
        <x:f>_xlfn.LET(_xlpm.r, MATCH($A45, Pivot!$A$11:$A$35, 0),_xlpm.c, MATCH(S$39, Pivot!$B$2:$EU$2, 0),IFERROR(INDEX(Pivot!$B$11:$EU$35, _xlpm.r, _xlpm.c), 0))</x:f>
        <x:v>#N/A</x:v>
      </x:c>
      <x:c r="T45" s="841" t="e">
        <x:f>_xlfn.LET(_xlpm.r, MATCH($A45, Pivot!$A$11:$A$35, 0),_xlpm.c, MATCH(T$39, Pivot!$B$2:$EU$2, 0),IFERROR(INDEX(Pivot!$B$11:$EU$35, _xlpm.r, _xlpm.c), 0))</x:f>
        <x:v>#N/A</x:v>
      </x:c>
      <x:c r="U45" s="845" t="e">
        <x:f>_xlfn.LET(_xlpm.r, MATCH($A45, Pivot!$A$11:$A$35, 0),_xlpm.c, MATCH(U$39, Pivot!$B$2:$EU$2, 0),IFERROR(INDEX(Pivot!$B$11:$EU$35, _xlpm.r, _xlpm.c), 0))</x:f>
        <x:v>#N/A</x:v>
      </x:c>
      <x:c r="V45" s="846" t="e">
        <x:f>_xlfn.LET(_xlpm.r, MATCH($A45, Pivot!$A$11:$A$35, 0),_xlpm.c, MATCH(V$39, Pivot!$B$2:$EU$2, 0),IFERROR(INDEX(Pivot!$B$11:$EU$35, _xlpm.r, _xlpm.c), 0))</x:f>
        <x:v>#N/A</x:v>
      </x:c>
      <x:c r="W45" s="383"/>
      <x:c r="X45" s="383"/>
      <x:c r="Y45" s="594"/>
      <x:c r="Z45" s="594"/>
      <x:c r="AA45" s="594"/>
      <x:c r="AB45" s="383"/>
      <x:c r="AC45" s="383"/>
      <x:c r="AD45" s="383"/>
      <x:c r="AE45" s="383"/>
      <x:c r="AF45" s="383"/>
      <x:c r="AG45" s="383"/>
      <x:c r="AH45" s="383"/>
      <x:c r="AI45" s="383"/>
      <x:c r="AJ45" s="383"/>
      <x:c r="AK45" s="383"/>
      <x:c r="AL45" s="383"/>
      <x:c r="AM45" s="383"/>
      <x:c r="AN45" s="383"/>
      <x:c r="AO45" s="383"/>
      <x:c r="AP45" s="383"/>
      <x:c r="AQ45" s="383"/>
      <x:c r="AR45" s="383"/>
      <x:c r="AS45" s="383"/>
      <x:c r="AT45" s="383"/>
      <x:c r="AU45" s="383"/>
      <x:c r="AV45" s="383"/>
      <x:c r="AW45" s="383"/>
      <x:c r="AX45" s="383"/>
      <x:c r="AY45" s="383"/>
      <x:c r="AZ45" s="383"/>
      <x:c r="BA45" s="383"/>
      <x:c r="BB45" s="383"/>
      <x:c r="BC45" s="383"/>
      <x:c r="BD45" s="383"/>
      <x:c r="BE45" s="383"/>
      <x:c r="BF45" s="383"/>
      <x:c r="BG45" s="383"/>
      <x:c r="BH45" s="383"/>
      <x:c r="BI45" s="383"/>
      <x:c r="BJ45" s="383"/>
      <x:c r="BK45" s="383"/>
      <x:c r="BL45" s="383"/>
      <x:c r="BM45" s="383"/>
      <x:c r="BN45" s="383"/>
      <x:c r="BO45" s="383"/>
      <x:c r="BP45" s="383"/>
      <x:c r="BQ45" s="383"/>
      <x:c r="BR45" s="383"/>
      <x:c r="BS45" s="383"/>
      <x:c r="BT45" s="383"/>
      <x:c r="BU45" s="383"/>
      <x:c r="BV45" s="383"/>
      <x:c r="BW45" s="383"/>
      <x:c r="BX45" s="383"/>
      <x:c r="BY45" s="383"/>
      <x:c r="BZ45" s="383"/>
      <x:c r="CA45" s="383"/>
      <x:c r="CB45" s="383"/>
      <x:c r="CC45" s="383"/>
      <x:c r="CD45" s="383"/>
      <x:c r="CE45" s="383"/>
      <x:c r="CF45" s="383"/>
      <x:c r="CG45" s="383"/>
      <x:c r="CH45" s="383"/>
      <x:c r="CI45" s="383"/>
      <x:c r="CJ45" s="383"/>
      <x:c r="CK45" s="383"/>
      <x:c r="CL45" s="383"/>
      <x:c r="CM45" s="383"/>
    </x:row>
    <x:row r="46" ht="22" customHeight="1">
      <x:c r="A46" s="894" t="s">
        <x:v>175</x:v>
      </x:c>
      <x:c r="B46" s="909" t="s">
        <x:v>51</x:v>
      </x:c>
      <x:c r="C46" s="910" t="n">
        <x:f>_xlfn.LET(_xlpm.r, MATCH($A46, Pivot!$A$11:$A$35, 0),_xlpm.c, MATCH(C$39, Pivot!$B$2:$EU$2, 0),IFERROR(INDEX(Pivot!$B$11:$EU$35, _xlpm.r, _xlpm.c), 0))</x:f>
        <x:v>495000</x:v>
      </x:c>
      <x:c r="D46" s="910" t="n">
        <x:f>_xlfn.LET(_xlpm.r, MATCH($A46, Pivot!$A$11:$A$35, 0),_xlpm.c, MATCH(D$39, Pivot!$B$2:$EU$2, 0),IFERROR(INDEX(Pivot!$B$11:$EU$35, _xlpm.r, _xlpm.c), 0))</x:f>
        <x:v>420000</x:v>
      </x:c>
      <x:c r="E46" s="911" t="n">
        <x:f>_xlfn.LET(_xlpm.r, MATCH($A46, Pivot!$A$11:$A$35, 0),_xlpm.c, MATCH(E$39, Pivot!$B$2:$EU$2, 0),IFERROR(INDEX(Pivot!$B$11:$EU$35, _xlpm.r, _xlpm.c), 0))</x:f>
        <x:v>2156000</x:v>
      </x:c>
      <x:c r="F46" s="911" t="n">
        <x:f>_xlfn.LET(_xlpm.r, MATCH($A46, Pivot!$A$11:$A$35, 0),_xlpm.c, MATCH(F$39, Pivot!$B$2:$EU$2, 0),IFERROR(INDEX(Pivot!$B$11:$EU$35, _xlpm.r, _xlpm.c), 0))</x:f>
        <x:v>5005000</x:v>
      </x:c>
      <x:c r="G46" s="911" t="n">
        <x:f>_xlfn.LET(_xlpm.r, MATCH($A46, Pivot!$A$11:$A$35, 0),_xlpm.c, MATCH(G$39, Pivot!$B$2:$EU$2, 0),IFERROR(INDEX(Pivot!$B$11:$EU$35, _xlpm.r, _xlpm.c), 0))</x:f>
        <x:v>1344000</x:v>
      </x:c>
      <x:c r="H46" s="911" t="n">
        <x:f>_xlfn.LET(_xlpm.r, MATCH($A46, Pivot!$A$11:$A$35, 0),_xlpm.c, MATCH(H$39, Pivot!$B$2:$EU$2, 0),IFERROR(INDEX(Pivot!$B$11:$EU$35, _xlpm.r, _xlpm.c), 0))</x:f>
        <x:v>3328000</x:v>
      </x:c>
      <x:c r="I46" s="911" t="n">
        <x:f>_xlfn.LET(_xlpm.r, MATCH($A46, Pivot!$A$11:$A$35, 0),_xlpm.c, MATCH(I$39, Pivot!$B$2:$EU$2, 0),IFERROR(INDEX(Pivot!$B$11:$EU$35, _xlpm.r, _xlpm.c), 0))</x:f>
        <x:v>1001000</x:v>
      </x:c>
      <x:c r="J46" s="911" t="n">
        <x:f>_xlfn.LET(_xlpm.r, MATCH($A46, Pivot!$A$11:$A$35, 0),_xlpm.c, MATCH(J$39, Pivot!$B$2:$EU$2, 0),IFERROR(INDEX(Pivot!$B$11:$EU$35, _xlpm.r, _xlpm.c), 0))</x:f>
        <x:v>4641000</x:v>
      </x:c>
      <x:c r="K46" s="911" t="n">
        <x:f>_xlfn.LET(_xlpm.r, MATCH($A46, Pivot!$A$11:$A$35, 0),_xlpm.c, MATCH(K$39, Pivot!$B$2:$EU$2, 0),IFERROR(INDEX(Pivot!$B$11:$EU$35, _xlpm.r, _xlpm.c), 0))</x:f>
        <x:v>1320000</x:v>
      </x:c>
      <x:c r="L46" s="911" t="e">
        <x:f>_xlfn.LET(_xlpm.r, MATCH($A46, Pivot!$A$11:$A$35, 0),_xlpm.c, MATCH(L$39, Pivot!$B$2:$EU$2, 0),IFERROR(INDEX(Pivot!$B$11:$EU$35, _xlpm.r, _xlpm.c), 0))</x:f>
        <x:v>#N/A</x:v>
      </x:c>
      <x:c r="M46" s="912" t="n">
        <x:f>_xlfn.LET(_xlpm.r, MATCH($A46, Pivot!$A$11:$A$35, 0),_xlpm.c, MATCH(M$39, Pivot!$B$2:$EU$2, 0),IFERROR(INDEX(Pivot!$B$11:$EU$35, _xlpm.r, _xlpm.c), 0))</x:f>
        <x:v>27895800</x:v>
      </x:c>
      <x:c r="N46" s="912" t="n">
        <x:f>_xlfn.LET(_xlpm.r, MATCH($A46, Pivot!$A$11:$A$35, 0),_xlpm.c, MATCH(N$39, Pivot!$B$2:$EU$2, 0),IFERROR(INDEX(Pivot!$B$11:$EU$35, _xlpm.r, _xlpm.c), 0))</x:f>
        <x:v>22334800</x:v>
      </x:c>
      <x:c r="O46" s="911" t="n">
        <x:f>_xlfn.LET(_xlpm.r, MATCH($A46, Pivot!$A$11:$A$35, 0),_xlpm.c, MATCH(O$39, Pivot!$B$2:$EU$2, 0),IFERROR(INDEX(Pivot!$B$11:$EU$35, _xlpm.r, _xlpm.c), 0))</x:f>
        <x:v>2088000</x:v>
      </x:c>
      <x:c r="P46" s="911" t="n">
        <x:f>_xlfn.LET(_xlpm.r, MATCH($A46, Pivot!$A$11:$A$35, 0),_xlpm.c, MATCH(P$39, Pivot!$B$2:$EU$2, 0),IFERROR(INDEX(Pivot!$B$11:$EU$35, _xlpm.r, _xlpm.c), 0))</x:f>
        <x:v>6960000</x:v>
      </x:c>
      <x:c r="Q46" s="911" t="n">
        <x:f>_xlfn.LET(_xlpm.r, MATCH($A46, Pivot!$A$11:$A$35, 0),_xlpm.c, MATCH(Q$39, Pivot!$B$2:$EU$2, 0),IFERROR(INDEX(Pivot!$B$11:$EU$35, _xlpm.r, _xlpm.c), 0))</x:f>
        <x:v>230000</x:v>
      </x:c>
      <x:c r="R46" s="911" t="n">
        <x:f>_xlfn.LET(_xlpm.r, MATCH($A46, Pivot!$A$11:$A$35, 0),_xlpm.c, MATCH(R$39, Pivot!$B$2:$EU$2, 0),IFERROR(INDEX(Pivot!$B$11:$EU$35, _xlpm.r, _xlpm.c), 0))</x:f>
        <x:v>920000</x:v>
      </x:c>
      <x:c r="S46" s="911" t="e">
        <x:f>_xlfn.LET(_xlpm.r, MATCH($A46, Pivot!$A$11:$A$35, 0),_xlpm.c, MATCH(S$39, Pivot!$B$2:$EU$2, 0),IFERROR(INDEX(Pivot!$B$11:$EU$35, _xlpm.r, _xlpm.c), 0))</x:f>
        <x:v>#N/A</x:v>
      </x:c>
      <x:c r="T46" s="911" t="e">
        <x:f>_xlfn.LET(_xlpm.r, MATCH($A46, Pivot!$A$11:$A$35, 0),_xlpm.c, MATCH(T$39, Pivot!$B$2:$EU$2, 0),IFERROR(INDEX(Pivot!$B$11:$EU$35, _xlpm.r, _xlpm.c), 0))</x:f>
        <x:v>#N/A</x:v>
      </x:c>
      <x:c r="U46" s="912" t="e">
        <x:f>_xlfn.LET(_xlpm.r, MATCH($A46, Pivot!$A$11:$A$35, 0),_xlpm.c, MATCH(U$39, Pivot!$B$2:$EU$2, 0),IFERROR(INDEX(Pivot!$B$11:$EU$35, _xlpm.r, _xlpm.c), 0))</x:f>
        <x:v>#N/A</x:v>
      </x:c>
      <x:c r="V46" s="913" t="e">
        <x:f>_xlfn.LET(_xlpm.r, MATCH($A46, Pivot!$A$11:$A$35, 0),_xlpm.c, MATCH(V$39, Pivot!$B$2:$EU$2, 0),IFERROR(INDEX(Pivot!$B$11:$EU$35, _xlpm.r, _xlpm.c), 0))</x:f>
        <x:v>#N/A</x:v>
      </x:c>
      <x:c r="W46" s="415"/>
      <x:c r="X46" s="415"/>
      <x:c r="Y46" s="631"/>
      <x:c r="Z46" s="631"/>
      <x:c r="AA46" s="631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  <x:c r="AM46" s="415"/>
      <x:c r="AN46" s="415"/>
      <x:c r="AO46" s="415"/>
      <x:c r="AP46" s="415"/>
      <x:c r="AQ46" s="415"/>
      <x:c r="AR46" s="415"/>
      <x:c r="AS46" s="415"/>
      <x:c r="AT46" s="415"/>
      <x:c r="AU46" s="415"/>
      <x:c r="AV46" s="415"/>
      <x:c r="AW46" s="415"/>
      <x:c r="AX46" s="415"/>
      <x:c r="AY46" s="415"/>
      <x:c r="AZ46" s="415"/>
      <x:c r="BA46" s="415"/>
      <x:c r="BB46" s="415"/>
      <x:c r="BC46" s="415"/>
      <x:c r="BD46" s="415"/>
      <x:c r="BE46" s="415"/>
      <x:c r="BF46" s="415"/>
      <x:c r="BG46" s="415"/>
      <x:c r="BH46" s="415"/>
      <x:c r="BI46" s="415"/>
      <x:c r="BJ46" s="415"/>
      <x:c r="BK46" s="415"/>
      <x:c r="BL46" s="415"/>
      <x:c r="BM46" s="415"/>
      <x:c r="BN46" s="415"/>
      <x:c r="BO46" s="415"/>
      <x:c r="BP46" s="415"/>
      <x:c r="BQ46" s="415"/>
      <x:c r="BR46" s="415"/>
      <x:c r="BS46" s="415"/>
      <x:c r="BT46" s="415"/>
      <x:c r="BU46" s="415"/>
      <x:c r="BV46" s="415"/>
      <x:c r="BW46" s="415"/>
      <x:c r="BX46" s="415"/>
      <x:c r="BY46" s="415"/>
      <x:c r="BZ46" s="415"/>
      <x:c r="CA46" s="415"/>
      <x:c r="CB46" s="415"/>
      <x:c r="CC46" s="415"/>
      <x:c r="CD46" s="415"/>
      <x:c r="CE46" s="415"/>
      <x:c r="CF46" s="415"/>
      <x:c r="CG46" s="415"/>
      <x:c r="CH46" s="415"/>
      <x:c r="CI46" s="415"/>
      <x:c r="CJ46" s="415"/>
      <x:c r="CK46" s="415"/>
      <x:c r="CL46" s="415"/>
      <x:c r="CM46" s="415"/>
    </x:row>
    <x:row r="47" ht="22" customHeight="1">
      <x:c r="A47" s="839" t="s">
        <x:v>171</x:v>
      </x:c>
      <x:c r="B47" s="840" t="s">
        <x:v>43</x:v>
      </x:c>
      <x:c r="C47" s="827" t="n">
        <x:f>_xlfn.LET(_xlpm.r, MATCH($A47, Pivot!$A$11:$A$35, 0),_xlpm.c, MATCH(C$39, Pivot!$B$2:$EU$2, 0),IFERROR(INDEX(Pivot!$B$11:$EU$35, _xlpm.r, _xlpm.c), 0))</x:f>
        <x:v>150000</x:v>
      </x:c>
      <x:c r="D47" s="827" t="n">
        <x:f>_xlfn.LET(_xlpm.r, MATCH($A47, Pivot!$A$11:$A$35, 0),_xlpm.c, MATCH(D$39, Pivot!$B$2:$EU$2, 0),IFERROR(INDEX(Pivot!$B$11:$EU$35, _xlpm.r, _xlpm.c), 0))</x:f>
        <x:v>600000</x:v>
      </x:c>
      <x:c r="E47" s="841" t="n">
        <x:f>_xlfn.LET(_xlpm.r, MATCH($A47, Pivot!$A$11:$A$35, 0),_xlpm.c, MATCH(E$39, Pivot!$B$2:$EU$2, 0),IFERROR(INDEX(Pivot!$B$11:$EU$35, _xlpm.r, _xlpm.c), 0))</x:f>
        <x:v>814000</x:v>
      </x:c>
      <x:c r="F47" s="841" t="n">
        <x:f>_xlfn.LET(_xlpm.r, MATCH($A47, Pivot!$A$11:$A$35, 0),_xlpm.c, MATCH(F$39, Pivot!$B$2:$EU$2, 0),IFERROR(INDEX(Pivot!$B$11:$EU$35, _xlpm.r, _xlpm.c), 0))</x:f>
        <x:v>6600000</x:v>
      </x:c>
      <x:c r="G47" s="842" t="n">
        <x:f>_xlfn.LET(_xlpm.r, MATCH($A47, Pivot!$A$11:$A$35, 0),_xlpm.c, MATCH(G$39, Pivot!$B$2:$EU$2, 0),IFERROR(INDEX(Pivot!$B$11:$EU$35, _xlpm.r, _xlpm.c), 0))</x:f>
        <x:v>384000</x:v>
      </x:c>
      <x:c r="H47" s="842" t="n">
        <x:f>_xlfn.LET(_xlpm.r, MATCH($A47, Pivot!$A$11:$A$35, 0),_xlpm.c, MATCH(H$39, Pivot!$B$2:$EU$2, 0),IFERROR(INDEX(Pivot!$B$11:$EU$35, _xlpm.r, _xlpm.c), 0))</x:f>
        <x:v>4416000</x:v>
      </x:c>
      <x:c r="I47" s="843" t="n">
        <x:f>_xlfn.LET(_xlpm.r, MATCH($A47, Pivot!$A$11:$A$35, 0),_xlpm.c, MATCH(I$39, Pivot!$B$2:$EU$2, 0),IFERROR(INDEX(Pivot!$B$11:$EU$35, _xlpm.r, _xlpm.c), 0))</x:f>
        <x:v>1638000</x:v>
      </x:c>
      <x:c r="J47" s="843" t="n">
        <x:f>_xlfn.LET(_xlpm.r, MATCH($A47, Pivot!$A$11:$A$35, 0),_xlpm.c, MATCH(J$39, Pivot!$B$2:$EU$2, 0),IFERROR(INDEX(Pivot!$B$11:$EU$35, _xlpm.r, _xlpm.c), 0))</x:f>
        <x:v>2184000</x:v>
      </x:c>
      <x:c r="K47" s="844" t="n">
        <x:f>_xlfn.LET(_xlpm.r, MATCH($A47, Pivot!$A$11:$A$35, 0),_xlpm.c, MATCH(K$39, Pivot!$B$2:$EU$2, 0),IFERROR(INDEX(Pivot!$B$11:$EU$35, _xlpm.r, _xlpm.c), 0))</x:f>
        <x:v>450000</x:v>
      </x:c>
      <x:c r="L47" s="844" t="e">
        <x:f>_xlfn.LET(_xlpm.r, MATCH($A47, Pivot!$A$11:$A$35, 0),_xlpm.c, MATCH(L$39, Pivot!$B$2:$EU$2, 0),IFERROR(INDEX(Pivot!$B$11:$EU$35, _xlpm.r, _xlpm.c), 0))</x:f>
        <x:v>#N/A</x:v>
      </x:c>
      <x:c r="M47" s="845" t="n">
        <x:f>_xlfn.LET(_xlpm.r, MATCH($A47, Pivot!$A$11:$A$35, 0),_xlpm.c, MATCH(M$39, Pivot!$B$2:$EU$2, 0),IFERROR(INDEX(Pivot!$B$11:$EU$35, _xlpm.r, _xlpm.c), 0))</x:f>
        <x:v>15329800</x:v>
      </x:c>
      <x:c r="N47" s="845" t="n">
        <x:f>_xlfn.LET(_xlpm.r, MATCH($A47, Pivot!$A$11:$A$35, 0),_xlpm.c, MATCH(N$39, Pivot!$B$2:$EU$2, 0),IFERROR(INDEX(Pivot!$B$11:$EU$35, _xlpm.r, _xlpm.c), 0))</x:f>
        <x:v>30424200</x:v>
      </x:c>
      <x:c r="O47" s="844" t="n">
        <x:f>_xlfn.LET(_xlpm.r, MATCH($A47, Pivot!$A$11:$A$35, 0),_xlpm.c, MATCH(O$39, Pivot!$B$2:$EU$2, 0),IFERROR(INDEX(Pivot!$B$11:$EU$35, _xlpm.r, _xlpm.c), 0))</x:f>
        <x:v>928000</x:v>
      </x:c>
      <x:c r="P47" s="844" t="n">
        <x:f>_xlfn.LET(_xlpm.r, MATCH($A47, Pivot!$A$11:$A$35, 0),_xlpm.c, MATCH(P$39, Pivot!$B$2:$EU$2, 0),IFERROR(INDEX(Pivot!$B$11:$EU$35, _xlpm.r, _xlpm.c), 0))</x:f>
        <x:v>1624000</x:v>
      </x:c>
      <x:c r="Q47" s="842" t="str">
        <x:f>_xlfn.LET(_xlpm.r, MATCH($A47, Pivot!$A$11:$A$35, 0),_xlpm.c, MATCH(Q$39, Pivot!$B$2:$EU$2, 0),IFERROR(INDEX(Pivot!$B$11:$EU$35, _xlpm.r, _xlpm.c), 0))</x:f>
      </x:c>
      <x:c r="R47" s="842" t="str">
        <x:f>_xlfn.LET(_xlpm.r, MATCH($A47, Pivot!$A$11:$A$35, 0),_xlpm.c, MATCH(R$39, Pivot!$B$2:$EU$2, 0),IFERROR(INDEX(Pivot!$B$11:$EU$35, _xlpm.r, _xlpm.c), 0))</x:f>
      </x:c>
      <x:c r="S47" s="841" t="e">
        <x:f>_xlfn.LET(_xlpm.r, MATCH($A47, Pivot!$A$11:$A$35, 0),_xlpm.c, MATCH(S$39, Pivot!$B$2:$EU$2, 0),IFERROR(INDEX(Pivot!$B$11:$EU$35, _xlpm.r, _xlpm.c), 0))</x:f>
        <x:v>#N/A</x:v>
      </x:c>
      <x:c r="T47" s="841" t="e">
        <x:f>_xlfn.LET(_xlpm.r, MATCH($A47, Pivot!$A$11:$A$35, 0),_xlpm.c, MATCH(T$39, Pivot!$B$2:$EU$2, 0),IFERROR(INDEX(Pivot!$B$11:$EU$35, _xlpm.r, _xlpm.c), 0))</x:f>
        <x:v>#N/A</x:v>
      </x:c>
      <x:c r="U47" s="845" t="e">
        <x:f>_xlfn.LET(_xlpm.r, MATCH($A47, Pivot!$A$11:$A$35, 0),_xlpm.c, MATCH(U$39, Pivot!$B$2:$EU$2, 0),IFERROR(INDEX(Pivot!$B$11:$EU$35, _xlpm.r, _xlpm.c), 0))</x:f>
        <x:v>#N/A</x:v>
      </x:c>
      <x:c r="V47" s="846" t="e">
        <x:f>_xlfn.LET(_xlpm.r, MATCH($A47, Pivot!$A$11:$A$35, 0),_xlpm.c, MATCH(V$39, Pivot!$B$2:$EU$2, 0),IFERROR(INDEX(Pivot!$B$11:$EU$35, _xlpm.r, _xlpm.c), 0))</x:f>
        <x:v>#N/A</x:v>
      </x:c>
      <x:c r="W47" s="383"/>
      <x:c r="X47" s="383"/>
      <x:c r="Y47" s="594"/>
      <x:c r="Z47" s="594"/>
      <x:c r="AA47" s="594"/>
      <x:c r="AB47" s="383"/>
      <x:c r="AC47" s="383"/>
      <x:c r="AD47" s="383"/>
      <x:c r="AE47" s="383"/>
      <x:c r="AF47" s="383"/>
      <x:c r="AG47" s="383"/>
      <x:c r="AH47" s="383"/>
      <x:c r="AI47" s="383"/>
      <x:c r="AJ47" s="383"/>
      <x:c r="AK47" s="383"/>
      <x:c r="AL47" s="383"/>
      <x:c r="AM47" s="383"/>
      <x:c r="AN47" s="383"/>
      <x:c r="AO47" s="383"/>
      <x:c r="AP47" s="383"/>
      <x:c r="AQ47" s="383"/>
      <x:c r="AR47" s="383"/>
      <x:c r="AS47" s="383"/>
      <x:c r="AT47" s="383"/>
      <x:c r="AU47" s="383"/>
      <x:c r="AV47" s="383"/>
      <x:c r="AW47" s="383"/>
      <x:c r="AX47" s="383"/>
      <x:c r="AY47" s="383"/>
      <x:c r="AZ47" s="383"/>
      <x:c r="BA47" s="383"/>
      <x:c r="BB47" s="383"/>
      <x:c r="BC47" s="383"/>
      <x:c r="BD47" s="383"/>
      <x:c r="BE47" s="383"/>
      <x:c r="BF47" s="383"/>
      <x:c r="BG47" s="383"/>
      <x:c r="BH47" s="383"/>
      <x:c r="BI47" s="383"/>
      <x:c r="BJ47" s="383"/>
      <x:c r="BK47" s="383"/>
      <x:c r="BL47" s="383"/>
      <x:c r="BM47" s="383"/>
      <x:c r="BN47" s="383"/>
      <x:c r="BO47" s="383"/>
      <x:c r="BP47" s="383"/>
      <x:c r="BQ47" s="383"/>
      <x:c r="BR47" s="383"/>
      <x:c r="BS47" s="383"/>
      <x:c r="BT47" s="383"/>
      <x:c r="BU47" s="383"/>
      <x:c r="BV47" s="383"/>
      <x:c r="BW47" s="383"/>
      <x:c r="BX47" s="383"/>
      <x:c r="BY47" s="383"/>
      <x:c r="BZ47" s="383"/>
      <x:c r="CA47" s="383"/>
      <x:c r="CB47" s="383"/>
      <x:c r="CC47" s="383"/>
      <x:c r="CD47" s="383"/>
      <x:c r="CE47" s="383"/>
      <x:c r="CF47" s="383"/>
      <x:c r="CG47" s="383"/>
      <x:c r="CH47" s="383"/>
      <x:c r="CI47" s="383"/>
      <x:c r="CJ47" s="383"/>
      <x:c r="CK47" s="383"/>
      <x:c r="CL47" s="383"/>
      <x:c r="CM47" s="383"/>
    </x:row>
    <x:row r="48" ht="22" customHeight="1">
      <x:c r="A48" s="894" t="s">
        <x:v>167</x:v>
      </x:c>
      <x:c r="B48" s="909" t="s">
        <x:v>35</x:v>
      </x:c>
      <x:c r="C48" s="910" t="str">
        <x:f>_xlfn.LET(_xlpm.r, MATCH($A48, Pivot!$A$11:$A$35, 0),_xlpm.c, MATCH(C$39, Pivot!$B$2:$EU$2, 0),IFERROR(INDEX(Pivot!$B$11:$EU$35, _xlpm.r, _xlpm.c), 0))</x:f>
      </x:c>
      <x:c r="D48" s="910" t="n">
        <x:f>_xlfn.LET(_xlpm.r, MATCH($A48, Pivot!$A$11:$A$35, 0),_xlpm.c, MATCH(D$39, Pivot!$B$2:$EU$2, 0),IFERROR(INDEX(Pivot!$B$11:$EU$35, _xlpm.r, _xlpm.c), 0))</x:f>
        <x:v>1005000</x:v>
      </x:c>
      <x:c r="E48" s="911" t="n">
        <x:f>_xlfn.LET(_xlpm.r, MATCH($A48, Pivot!$A$11:$A$35, 0),_xlpm.c, MATCH(E$39, Pivot!$B$2:$EU$2, 0),IFERROR(INDEX(Pivot!$B$11:$EU$35, _xlpm.r, _xlpm.c), 0))</x:f>
        <x:v>2480500</x:v>
      </x:c>
      <x:c r="F48" s="911" t="n">
        <x:f>_xlfn.LET(_xlpm.r, MATCH($A48, Pivot!$A$11:$A$35, 0),_xlpm.c, MATCH(F$39, Pivot!$B$2:$EU$2, 0),IFERROR(INDEX(Pivot!$B$11:$EU$35, _xlpm.r, _xlpm.c), 0))</x:f>
        <x:v>2981000</x:v>
      </x:c>
      <x:c r="G48" s="911" t="n">
        <x:f>_xlfn.LET(_xlpm.r, MATCH($A48, Pivot!$A$11:$A$35, 0),_xlpm.c, MATCH(G$39, Pivot!$B$2:$EU$2, 0),IFERROR(INDEX(Pivot!$B$11:$EU$35, _xlpm.r, _xlpm.c), 0))</x:f>
        <x:v>512000</x:v>
      </x:c>
      <x:c r="H48" s="911" t="n">
        <x:f>_xlfn.LET(_xlpm.r, MATCH($A48, Pivot!$A$11:$A$35, 0),_xlpm.c, MATCH(H$39, Pivot!$B$2:$EU$2, 0),IFERROR(INDEX(Pivot!$B$11:$EU$35, _xlpm.r, _xlpm.c), 0))</x:f>
        <x:v>3840000</x:v>
      </x:c>
      <x:c r="I48" s="911" t="str">
        <x:f>_xlfn.LET(_xlpm.r, MATCH($A48, Pivot!$A$11:$A$35, 0),_xlpm.c, MATCH(I$39, Pivot!$B$2:$EU$2, 0),IFERROR(INDEX(Pivot!$B$11:$EU$35, _xlpm.r, _xlpm.c), 0))</x:f>
      </x:c>
      <x:c r="J48" s="911" t="n">
        <x:f>_xlfn.LET(_xlpm.r, MATCH($A48, Pivot!$A$11:$A$35, 0),_xlpm.c, MATCH(J$39, Pivot!$B$2:$EU$2, 0),IFERROR(INDEX(Pivot!$B$11:$EU$35, _xlpm.r, _xlpm.c), 0))</x:f>
        <x:v>5460000</x:v>
      </x:c>
      <x:c r="K48" s="911" t="n">
        <x:f>_xlfn.LET(_xlpm.r, MATCH($A48, Pivot!$A$11:$A$35, 0),_xlpm.c, MATCH(K$39, Pivot!$B$2:$EU$2, 0),IFERROR(INDEX(Pivot!$B$11:$EU$35, _xlpm.r, _xlpm.c), 0))</x:f>
        <x:v>750000</x:v>
      </x:c>
      <x:c r="L48" s="911" t="e">
        <x:f>_xlfn.LET(_xlpm.r, MATCH($A48, Pivot!$A$11:$A$35, 0),_xlpm.c, MATCH(L$39, Pivot!$B$2:$EU$2, 0),IFERROR(INDEX(Pivot!$B$11:$EU$35, _xlpm.r, _xlpm.c), 0))</x:f>
        <x:v>#N/A</x:v>
      </x:c>
      <x:c r="M48" s="912" t="n">
        <x:f>_xlfn.LET(_xlpm.r, MATCH($A48, Pivot!$A$11:$A$35, 0),_xlpm.c, MATCH(M$39, Pivot!$B$2:$EU$2, 0),IFERROR(INDEX(Pivot!$B$11:$EU$35, _xlpm.r, _xlpm.c), 0))</x:f>
        <x:v>12406400</x:v>
      </x:c>
      <x:c r="N48" s="912" t="n">
        <x:f>_xlfn.LET(_xlpm.r, MATCH($A48, Pivot!$A$11:$A$35, 0),_xlpm.c, MATCH(N$39, Pivot!$B$2:$EU$2, 0),IFERROR(INDEX(Pivot!$B$11:$EU$35, _xlpm.r, _xlpm.c), 0))</x:f>
        <x:v>21077800</x:v>
      </x:c>
      <x:c r="O48" s="911" t="n">
        <x:f>_xlfn.LET(_xlpm.r, MATCH($A48, Pivot!$A$11:$A$35, 0),_xlpm.c, MATCH(O$39, Pivot!$B$2:$EU$2, 0),IFERROR(INDEX(Pivot!$B$11:$EU$35, _xlpm.r, _xlpm.c), 0))</x:f>
        <x:v>232000</x:v>
      </x:c>
      <x:c r="P48" s="911" t="n">
        <x:f>_xlfn.LET(_xlpm.r, MATCH($A48, Pivot!$A$11:$A$35, 0),_xlpm.c, MATCH(P$39, Pivot!$B$2:$EU$2, 0),IFERROR(INDEX(Pivot!$B$11:$EU$35, _xlpm.r, _xlpm.c), 0))</x:f>
        <x:v>4640000</x:v>
      </x:c>
      <x:c r="Q48" s="911" t="str">
        <x:f>_xlfn.LET(_xlpm.r, MATCH($A48, Pivot!$A$11:$A$35, 0),_xlpm.c, MATCH(Q$39, Pivot!$B$2:$EU$2, 0),IFERROR(INDEX(Pivot!$B$11:$EU$35, _xlpm.r, _xlpm.c), 0))</x:f>
      </x:c>
      <x:c r="R48" s="911" t="n">
        <x:f>_xlfn.LET(_xlpm.r, MATCH($A48, Pivot!$A$11:$A$35, 0),_xlpm.c, MATCH(R$39, Pivot!$B$2:$EU$2, 0),IFERROR(INDEX(Pivot!$B$11:$EU$35, _xlpm.r, _xlpm.c), 0))</x:f>
        <x:v>5290000</x:v>
      </x:c>
      <x:c r="S48" s="911" t="e">
        <x:f>_xlfn.LET(_xlpm.r, MATCH($A48, Pivot!$A$11:$A$35, 0),_xlpm.c, MATCH(S$39, Pivot!$B$2:$EU$2, 0),IFERROR(INDEX(Pivot!$B$11:$EU$35, _xlpm.r, _xlpm.c), 0))</x:f>
        <x:v>#N/A</x:v>
      </x:c>
      <x:c r="T48" s="911" t="e">
        <x:f>_xlfn.LET(_xlpm.r, MATCH($A48, Pivot!$A$11:$A$35, 0),_xlpm.c, MATCH(T$39, Pivot!$B$2:$EU$2, 0),IFERROR(INDEX(Pivot!$B$11:$EU$35, _xlpm.r, _xlpm.c), 0))</x:f>
        <x:v>#N/A</x:v>
      </x:c>
      <x:c r="U48" s="912" t="e">
        <x:f>_xlfn.LET(_xlpm.r, MATCH($A48, Pivot!$A$11:$A$35, 0),_xlpm.c, MATCH(U$39, Pivot!$B$2:$EU$2, 0),IFERROR(INDEX(Pivot!$B$11:$EU$35, _xlpm.r, _xlpm.c), 0))</x:f>
        <x:v>#N/A</x:v>
      </x:c>
      <x:c r="V48" s="913" t="e">
        <x:f>_xlfn.LET(_xlpm.r, MATCH($A48, Pivot!$A$11:$A$35, 0),_xlpm.c, MATCH(V$39, Pivot!$B$2:$EU$2, 0),IFERROR(INDEX(Pivot!$B$11:$EU$35, _xlpm.r, _xlpm.c), 0))</x:f>
        <x:v>#N/A</x:v>
      </x:c>
      <x:c r="W48" s="415"/>
      <x:c r="X48" s="415"/>
      <x:c r="Y48" s="631"/>
      <x:c r="Z48" s="631"/>
      <x:c r="AA48" s="631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  <x:c r="AM48" s="415"/>
      <x:c r="AN48" s="415"/>
      <x:c r="AO48" s="415"/>
      <x:c r="AP48" s="415"/>
      <x:c r="AQ48" s="415"/>
      <x:c r="AR48" s="415"/>
      <x:c r="AS48" s="415"/>
      <x:c r="AT48" s="415"/>
      <x:c r="AU48" s="415"/>
      <x:c r="AV48" s="415"/>
      <x:c r="AW48" s="415"/>
      <x:c r="AX48" s="415"/>
      <x:c r="AY48" s="415"/>
      <x:c r="AZ48" s="415"/>
      <x:c r="BA48" s="415"/>
      <x:c r="BB48" s="415"/>
      <x:c r="BC48" s="415"/>
      <x:c r="BD48" s="415"/>
      <x:c r="BE48" s="415"/>
      <x:c r="BF48" s="415"/>
      <x:c r="BG48" s="415"/>
      <x:c r="BH48" s="415"/>
      <x:c r="BI48" s="415"/>
      <x:c r="BJ48" s="415"/>
      <x:c r="BK48" s="415"/>
      <x:c r="BL48" s="415"/>
      <x:c r="BM48" s="415"/>
      <x:c r="BN48" s="415"/>
      <x:c r="BO48" s="415"/>
      <x:c r="BP48" s="415"/>
      <x:c r="BQ48" s="415"/>
      <x:c r="BR48" s="415"/>
      <x:c r="BS48" s="415"/>
      <x:c r="BT48" s="415"/>
      <x:c r="BU48" s="415"/>
      <x:c r="BV48" s="415"/>
      <x:c r="BW48" s="415"/>
      <x:c r="BX48" s="415"/>
      <x:c r="BY48" s="415"/>
      <x:c r="BZ48" s="415"/>
      <x:c r="CA48" s="415"/>
      <x:c r="CB48" s="415"/>
      <x:c r="CC48" s="415"/>
      <x:c r="CD48" s="415"/>
      <x:c r="CE48" s="415"/>
      <x:c r="CF48" s="415"/>
      <x:c r="CG48" s="415"/>
      <x:c r="CH48" s="415"/>
      <x:c r="CI48" s="415"/>
      <x:c r="CJ48" s="415"/>
      <x:c r="CK48" s="415"/>
      <x:c r="CL48" s="415"/>
      <x:c r="CM48" s="415"/>
    </x:row>
    <x:row r="49" ht="22" customHeight="1">
      <x:c r="A49" s="839" t="s">
        <x:v>162</x:v>
      </x:c>
      <x:c r="B49" s="840" t="s">
        <x:v>196</x:v>
      </x:c>
      <x:c r="C49" s="827" t="n">
        <x:f>_xlfn.LET(_xlpm.r, MATCH($A49, Pivot!$A$11:$A$35, 0),_xlpm.c, MATCH(C$39, Pivot!$B$2:$EU$2, 0),IFERROR(INDEX(Pivot!$B$11:$EU$35, _xlpm.r, _xlpm.c), 0))</x:f>
        <x:v>150000</x:v>
      </x:c>
      <x:c r="D49" s="827" t="n">
        <x:f>_xlfn.LET(_xlpm.r, MATCH($A49, Pivot!$A$11:$A$35, 0),_xlpm.c, MATCH(D$39, Pivot!$B$2:$EU$2, 0),IFERROR(INDEX(Pivot!$B$11:$EU$35, _xlpm.r, _xlpm.c), 0))</x:f>
        <x:v>60000</x:v>
      </x:c>
      <x:c r="E49" s="841" t="str">
        <x:f>_xlfn.LET(_xlpm.r, MATCH($A49, Pivot!$A$11:$A$35, 0),_xlpm.c, MATCH(E$39, Pivot!$B$2:$EU$2, 0),IFERROR(INDEX(Pivot!$B$11:$EU$35, _xlpm.r, _xlpm.c), 0))</x:f>
      </x:c>
      <x:c r="F49" s="841" t="n">
        <x:f>_xlfn.LET(_xlpm.r, MATCH($A49, Pivot!$A$11:$A$35, 0),_xlpm.c, MATCH(F$39, Pivot!$B$2:$EU$2, 0),IFERROR(INDEX(Pivot!$B$11:$EU$35, _xlpm.r, _xlpm.c), 0))</x:f>
        <x:v>3278000</x:v>
      </x:c>
      <x:c r="G49" s="842" t="str">
        <x:f>_xlfn.LET(_xlpm.r, MATCH($A49, Pivot!$A$11:$A$35, 0),_xlpm.c, MATCH(G$39, Pivot!$B$2:$EU$2, 0),IFERROR(INDEX(Pivot!$B$11:$EU$35, _xlpm.r, _xlpm.c), 0))</x:f>
      </x:c>
      <x:c r="H49" s="842" t="n">
        <x:f>_xlfn.LET(_xlpm.r, MATCH($A49, Pivot!$A$11:$A$35, 0),_xlpm.c, MATCH(H$39, Pivot!$B$2:$EU$2, 0),IFERROR(INDEX(Pivot!$B$11:$EU$35, _xlpm.r, _xlpm.c), 0))</x:f>
        <x:v>4960000</x:v>
      </x:c>
      <x:c r="I49" s="843" t="n">
        <x:f>_xlfn.LET(_xlpm.r, MATCH($A49, Pivot!$A$11:$A$35, 0),_xlpm.c, MATCH(I$39, Pivot!$B$2:$EU$2, 0),IFERROR(INDEX(Pivot!$B$11:$EU$35, _xlpm.r, _xlpm.c), 0))</x:f>
        <x:v>91000</x:v>
      </x:c>
      <x:c r="J49" s="843" t="n">
        <x:f>_xlfn.LET(_xlpm.r, MATCH($A49, Pivot!$A$11:$A$35, 0),_xlpm.c, MATCH(J$39, Pivot!$B$2:$EU$2, 0),IFERROR(INDEX(Pivot!$B$11:$EU$35, _xlpm.r, _xlpm.c), 0))</x:f>
        <x:v>4732000</x:v>
      </x:c>
      <x:c r="K49" s="844" t="str">
        <x:f>_xlfn.LET(_xlpm.r, MATCH($A49, Pivot!$A$11:$A$35, 0),_xlpm.c, MATCH(K$39, Pivot!$B$2:$EU$2, 0),IFERROR(INDEX(Pivot!$B$11:$EU$35, _xlpm.r, _xlpm.c), 0))</x:f>
      </x:c>
      <x:c r="L49" s="844" t="e">
        <x:f>_xlfn.LET(_xlpm.r, MATCH($A49, Pivot!$A$11:$A$35, 0),_xlpm.c, MATCH(L$39, Pivot!$B$2:$EU$2, 0),IFERROR(INDEX(Pivot!$B$11:$EU$35, _xlpm.r, _xlpm.c), 0))</x:f>
        <x:v>#N/A</x:v>
      </x:c>
      <x:c r="M49" s="845" t="n">
        <x:f>_xlfn.LET(_xlpm.r, MATCH($A49, Pivot!$A$11:$A$35, 0),_xlpm.c, MATCH(M$39, Pivot!$B$2:$EU$2, 0),IFERROR(INDEX(Pivot!$B$11:$EU$35, _xlpm.r, _xlpm.c), 0))</x:f>
        <x:v>207200</x:v>
      </x:c>
      <x:c r="N49" s="845" t="n">
        <x:f>_xlfn.LET(_xlpm.r, MATCH($A49, Pivot!$A$11:$A$35, 0),_xlpm.c, MATCH(N$39, Pivot!$B$2:$EU$2, 0),IFERROR(INDEX(Pivot!$B$11:$EU$35, _xlpm.r, _xlpm.c), 0))</x:f>
        <x:v>22876800</x:v>
      </x:c>
      <x:c r="O49" s="844" t="n">
        <x:f>_xlfn.LET(_xlpm.r, MATCH($A49, Pivot!$A$11:$A$35, 0),_xlpm.c, MATCH(O$39, Pivot!$B$2:$EU$2, 0),IFERROR(INDEX(Pivot!$B$11:$EU$35, _xlpm.r, _xlpm.c), 0))</x:f>
        <x:v>232000</x:v>
      </x:c>
      <x:c r="P49" s="844" t="n">
        <x:f>_xlfn.LET(_xlpm.r, MATCH($A49, Pivot!$A$11:$A$35, 0),_xlpm.c, MATCH(P$39, Pivot!$B$2:$EU$2, 0),IFERROR(INDEX(Pivot!$B$11:$EU$35, _xlpm.r, _xlpm.c), 0))</x:f>
        <x:v>4640000</x:v>
      </x:c>
      <x:c r="Q49" s="842" t="str">
        <x:f>_xlfn.LET(_xlpm.r, MATCH($A49, Pivot!$A$11:$A$35, 0),_xlpm.c, MATCH(Q$39, Pivot!$B$2:$EU$2, 0),IFERROR(INDEX(Pivot!$B$11:$EU$35, _xlpm.r, _xlpm.c), 0))</x:f>
      </x:c>
      <x:c r="R49" s="842" t="n">
        <x:f>_xlfn.LET(_xlpm.r, MATCH($A49, Pivot!$A$11:$A$35, 0),_xlpm.c, MATCH(R$39, Pivot!$B$2:$EU$2, 0),IFERROR(INDEX(Pivot!$B$11:$EU$35, _xlpm.r, _xlpm.c), 0))</x:f>
        <x:v>2415000</x:v>
      </x:c>
      <x:c r="S49" s="841" t="e">
        <x:f>_xlfn.LET(_xlpm.r, MATCH($A49, Pivot!$A$11:$A$35, 0),_xlpm.c, MATCH(S$39, Pivot!$B$2:$EU$2, 0),IFERROR(INDEX(Pivot!$B$11:$EU$35, _xlpm.r, _xlpm.c), 0))</x:f>
        <x:v>#N/A</x:v>
      </x:c>
      <x:c r="T49" s="841" t="e">
        <x:f>_xlfn.LET(_xlpm.r, MATCH($A49, Pivot!$A$11:$A$35, 0),_xlpm.c, MATCH(T$39, Pivot!$B$2:$EU$2, 0),IFERROR(INDEX(Pivot!$B$11:$EU$35, _xlpm.r, _xlpm.c), 0))</x:f>
        <x:v>#N/A</x:v>
      </x:c>
      <x:c r="U49" s="845" t="e">
        <x:f>_xlfn.LET(_xlpm.r, MATCH($A49, Pivot!$A$11:$A$35, 0),_xlpm.c, MATCH(U$39, Pivot!$B$2:$EU$2, 0),IFERROR(INDEX(Pivot!$B$11:$EU$35, _xlpm.r, _xlpm.c), 0))</x:f>
        <x:v>#N/A</x:v>
      </x:c>
      <x:c r="V49" s="846" t="e">
        <x:f>_xlfn.LET(_xlpm.r, MATCH($A49, Pivot!$A$11:$A$35, 0),_xlpm.c, MATCH(V$39, Pivot!$B$2:$EU$2, 0),IFERROR(INDEX(Pivot!$B$11:$EU$35, _xlpm.r, _xlpm.c), 0))</x:f>
        <x:v>#N/A</x:v>
      </x:c>
      <x:c r="W49" s="383"/>
      <x:c r="X49" s="383"/>
      <x:c r="Y49" s="594"/>
      <x:c r="Z49" s="594"/>
      <x:c r="AA49" s="594"/>
      <x:c r="AB49" s="383"/>
      <x:c r="AC49" s="383"/>
      <x:c r="AD49" s="383"/>
      <x:c r="AE49" s="383"/>
      <x:c r="AF49" s="383"/>
      <x:c r="AG49" s="383"/>
      <x:c r="AH49" s="383"/>
      <x:c r="AI49" s="383"/>
      <x:c r="AJ49" s="383"/>
      <x:c r="AK49" s="383"/>
      <x:c r="AL49" s="383"/>
      <x:c r="AM49" s="383"/>
      <x:c r="AN49" s="383"/>
      <x:c r="AO49" s="383"/>
      <x:c r="AP49" s="383"/>
      <x:c r="AQ49" s="383"/>
      <x:c r="AR49" s="383"/>
      <x:c r="AS49" s="383"/>
      <x:c r="AT49" s="383"/>
      <x:c r="AU49" s="383"/>
      <x:c r="AV49" s="383"/>
      <x:c r="AW49" s="383"/>
      <x:c r="AX49" s="383"/>
      <x:c r="AY49" s="383"/>
      <x:c r="AZ49" s="383"/>
      <x:c r="BA49" s="383"/>
      <x:c r="BB49" s="383"/>
      <x:c r="BC49" s="383"/>
      <x:c r="BD49" s="383"/>
      <x:c r="BE49" s="383"/>
      <x:c r="BF49" s="383"/>
      <x:c r="BG49" s="383"/>
      <x:c r="BH49" s="383"/>
      <x:c r="BI49" s="383"/>
      <x:c r="BJ49" s="383"/>
      <x:c r="BK49" s="383"/>
      <x:c r="BL49" s="383"/>
      <x:c r="BM49" s="383"/>
      <x:c r="BN49" s="383"/>
      <x:c r="BO49" s="383"/>
      <x:c r="BP49" s="383"/>
      <x:c r="BQ49" s="383"/>
      <x:c r="BR49" s="383"/>
      <x:c r="BS49" s="383"/>
      <x:c r="BT49" s="383"/>
      <x:c r="BU49" s="383"/>
      <x:c r="BV49" s="383"/>
      <x:c r="BW49" s="383"/>
      <x:c r="BX49" s="383"/>
      <x:c r="BY49" s="383"/>
      <x:c r="BZ49" s="383"/>
      <x:c r="CA49" s="383"/>
      <x:c r="CB49" s="383"/>
      <x:c r="CC49" s="383"/>
      <x:c r="CD49" s="383"/>
      <x:c r="CE49" s="383"/>
      <x:c r="CF49" s="383"/>
      <x:c r="CG49" s="383"/>
      <x:c r="CH49" s="383"/>
      <x:c r="CI49" s="383"/>
      <x:c r="CJ49" s="383"/>
      <x:c r="CK49" s="383"/>
      <x:c r="CL49" s="383"/>
      <x:c r="CM49" s="383"/>
    </x:row>
    <x:row r="50" ht="22" customHeight="1">
      <x:c r="A50" s="894" t="s">
        <x:v>161</x:v>
      </x:c>
      <x:c r="B50" s="909" t="s">
        <x:v>25</x:v>
      </x:c>
      <x:c r="C50" s="910" t="n">
        <x:f>_xlfn.LET(_xlpm.r, MATCH($A50, Pivot!$A$11:$A$35, 0),_xlpm.c, MATCH(C$39, Pivot!$B$2:$EU$2, 0),IFERROR(INDEX(Pivot!$B$11:$EU$35, _xlpm.r, _xlpm.c), 0))</x:f>
        <x:v>270000</x:v>
      </x:c>
      <x:c r="D50" s="910" t="n">
        <x:f>_xlfn.LET(_xlpm.r, MATCH($A50, Pivot!$A$11:$A$35, 0),_xlpm.c, MATCH(D$39, Pivot!$B$2:$EU$2, 0),IFERROR(INDEX(Pivot!$B$11:$EU$35, _xlpm.r, _xlpm.c), 0))</x:f>
        <x:v>375000</x:v>
      </x:c>
      <x:c r="E50" s="911" t="n">
        <x:f>_xlfn.LET(_xlpm.r, MATCH($A50, Pivot!$A$11:$A$35, 0),_xlpm.c, MATCH(E$39, Pivot!$B$2:$EU$2, 0),IFERROR(INDEX(Pivot!$B$11:$EU$35, _xlpm.r, _xlpm.c), 0))</x:f>
        <x:v>1540000</x:v>
      </x:c>
      <x:c r="F50" s="911" t="n">
        <x:f>_xlfn.LET(_xlpm.r, MATCH($A50, Pivot!$A$11:$A$35, 0),_xlpm.c, MATCH(F$39, Pivot!$B$2:$EU$2, 0),IFERROR(INDEX(Pivot!$B$11:$EU$35, _xlpm.r, _xlpm.c), 0))</x:f>
        <x:v>4565000</x:v>
      </x:c>
      <x:c r="G50" s="911" t="n">
        <x:f>_xlfn.LET(_xlpm.r, MATCH($A50, Pivot!$A$11:$A$35, 0),_xlpm.c, MATCH(G$39, Pivot!$B$2:$EU$2, 0),IFERROR(INDEX(Pivot!$B$11:$EU$35, _xlpm.r, _xlpm.c), 0))</x:f>
        <x:v>1280000</x:v>
      </x:c>
      <x:c r="H50" s="911" t="n">
        <x:f>_xlfn.LET(_xlpm.r, MATCH($A50, Pivot!$A$11:$A$35, 0),_xlpm.c, MATCH(H$39, Pivot!$B$2:$EU$2, 0),IFERROR(INDEX(Pivot!$B$11:$EU$35, _xlpm.r, _xlpm.c), 0))</x:f>
        <x:v>2976000</x:v>
      </x:c>
      <x:c r="I50" s="911" t="n">
        <x:f>_xlfn.LET(_xlpm.r, MATCH($A50, Pivot!$A$11:$A$35, 0),_xlpm.c, MATCH(I$39, Pivot!$B$2:$EU$2, 0),IFERROR(INDEX(Pivot!$B$11:$EU$35, _xlpm.r, _xlpm.c), 0))</x:f>
        <x:v>3276000</x:v>
      </x:c>
      <x:c r="J50" s="911" t="n">
        <x:f>_xlfn.LET(_xlpm.r, MATCH($A50, Pivot!$A$11:$A$35, 0),_xlpm.c, MATCH(J$39, Pivot!$B$2:$EU$2, 0),IFERROR(INDEX(Pivot!$B$11:$EU$35, _xlpm.r, _xlpm.c), 0))</x:f>
        <x:v>3094000</x:v>
      </x:c>
      <x:c r="K50" s="911" t="n">
        <x:f>_xlfn.LET(_xlpm.r, MATCH($A50, Pivot!$A$11:$A$35, 0),_xlpm.c, MATCH(K$39, Pivot!$B$2:$EU$2, 0),IFERROR(INDEX(Pivot!$B$11:$EU$35, _xlpm.r, _xlpm.c), 0))</x:f>
        <x:v>300000</x:v>
      </x:c>
      <x:c r="L50" s="911" t="e">
        <x:f>_xlfn.LET(_xlpm.r, MATCH($A50, Pivot!$A$11:$A$35, 0),_xlpm.c, MATCH(L$39, Pivot!$B$2:$EU$2, 0),IFERROR(INDEX(Pivot!$B$11:$EU$35, _xlpm.r, _xlpm.c), 0))</x:f>
        <x:v>#N/A</x:v>
      </x:c>
      <x:c r="M50" s="912" t="n">
        <x:f>_xlfn.LET(_xlpm.r, MATCH($A50, Pivot!$A$11:$A$35, 0),_xlpm.c, MATCH(M$39, Pivot!$B$2:$EU$2, 0),IFERROR(INDEX(Pivot!$B$11:$EU$35, _xlpm.r, _xlpm.c), 0))</x:f>
        <x:v>12538200</x:v>
      </x:c>
      <x:c r="N50" s="912" t="n">
        <x:f>_xlfn.LET(_xlpm.r, MATCH($A50, Pivot!$A$11:$A$35, 0),_xlpm.c, MATCH(N$39, Pivot!$B$2:$EU$2, 0),IFERROR(INDEX(Pivot!$B$11:$EU$35, _xlpm.r, _xlpm.c), 0))</x:f>
        <x:v>23157200</x:v>
      </x:c>
      <x:c r="O50" s="911" t="n">
        <x:f>_xlfn.LET(_xlpm.r, MATCH($A50, Pivot!$A$11:$A$35, 0),_xlpm.c, MATCH(O$39, Pivot!$B$2:$EU$2, 0),IFERROR(INDEX(Pivot!$B$11:$EU$35, _xlpm.r, _xlpm.c), 0))</x:f>
        <x:v>2784000</x:v>
      </x:c>
      <x:c r="P50" s="911" t="n">
        <x:f>_xlfn.LET(_xlpm.r, MATCH($A50, Pivot!$A$11:$A$35, 0),_xlpm.c, MATCH(P$39, Pivot!$B$2:$EU$2, 0),IFERROR(INDEX(Pivot!$B$11:$EU$35, _xlpm.r, _xlpm.c), 0))</x:f>
        <x:v>1972000</x:v>
      </x:c>
      <x:c r="Q50" s="911" t="n">
        <x:f>_xlfn.LET(_xlpm.r, MATCH($A50, Pivot!$A$11:$A$35, 0),_xlpm.c, MATCH(Q$39, Pivot!$B$2:$EU$2, 0),IFERROR(INDEX(Pivot!$B$11:$EU$35, _xlpm.r, _xlpm.c), 0))</x:f>
        <x:v>460000</x:v>
      </x:c>
      <x:c r="R50" s="911" t="n">
        <x:f>_xlfn.LET(_xlpm.r, MATCH($A50, Pivot!$A$11:$A$35, 0),_xlpm.c, MATCH(R$39, Pivot!$B$2:$EU$2, 0),IFERROR(INDEX(Pivot!$B$11:$EU$35, _xlpm.r, _xlpm.c), 0))</x:f>
        <x:v>6555000</x:v>
      </x:c>
      <x:c r="S50" s="911" t="e">
        <x:f>_xlfn.LET(_xlpm.r, MATCH($A50, Pivot!$A$11:$A$35, 0),_xlpm.c, MATCH(S$39, Pivot!$B$2:$EU$2, 0),IFERROR(INDEX(Pivot!$B$11:$EU$35, _xlpm.r, _xlpm.c), 0))</x:f>
        <x:v>#N/A</x:v>
      </x:c>
      <x:c r="T50" s="911" t="e">
        <x:f>_xlfn.LET(_xlpm.r, MATCH($A50, Pivot!$A$11:$A$35, 0),_xlpm.c, MATCH(T$39, Pivot!$B$2:$EU$2, 0),IFERROR(INDEX(Pivot!$B$11:$EU$35, _xlpm.r, _xlpm.c), 0))</x:f>
        <x:v>#N/A</x:v>
      </x:c>
      <x:c r="U50" s="912" t="e">
        <x:f>_xlfn.LET(_xlpm.r, MATCH($A50, Pivot!$A$11:$A$35, 0),_xlpm.c, MATCH(U$39, Pivot!$B$2:$EU$2, 0),IFERROR(INDEX(Pivot!$B$11:$EU$35, _xlpm.r, _xlpm.c), 0))</x:f>
        <x:v>#N/A</x:v>
      </x:c>
      <x:c r="V50" s="913" t="e">
        <x:f>_xlfn.LET(_xlpm.r, MATCH($A50, Pivot!$A$11:$A$35, 0),_xlpm.c, MATCH(V$39, Pivot!$B$2:$EU$2, 0),IFERROR(INDEX(Pivot!$B$11:$EU$35, _xlpm.r, _xlpm.c), 0))</x:f>
        <x:v>#N/A</x:v>
      </x:c>
      <x:c r="W50" s="415"/>
      <x:c r="X50" s="415"/>
      <x:c r="Y50" s="631"/>
      <x:c r="Z50" s="631"/>
      <x:c r="AA50" s="631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  <x:c r="AM50" s="415"/>
      <x:c r="AN50" s="415"/>
      <x:c r="AO50" s="415"/>
      <x:c r="AP50" s="415"/>
      <x:c r="AQ50" s="415"/>
      <x:c r="AR50" s="415"/>
      <x:c r="AS50" s="415"/>
      <x:c r="AT50" s="415"/>
      <x:c r="AU50" s="415"/>
      <x:c r="AV50" s="415"/>
      <x:c r="AW50" s="415"/>
      <x:c r="AX50" s="415"/>
      <x:c r="AY50" s="415"/>
      <x:c r="AZ50" s="415"/>
      <x:c r="BA50" s="415"/>
      <x:c r="BB50" s="415"/>
      <x:c r="BC50" s="415"/>
      <x:c r="BD50" s="415"/>
      <x:c r="BE50" s="415"/>
      <x:c r="BF50" s="415"/>
      <x:c r="BG50" s="415"/>
      <x:c r="BH50" s="415"/>
      <x:c r="BI50" s="415"/>
      <x:c r="BJ50" s="415"/>
      <x:c r="BK50" s="415"/>
      <x:c r="BL50" s="415"/>
      <x:c r="BM50" s="415"/>
      <x:c r="BN50" s="415"/>
      <x:c r="BO50" s="415"/>
      <x:c r="BP50" s="415"/>
      <x:c r="BQ50" s="415"/>
      <x:c r="BR50" s="415"/>
      <x:c r="BS50" s="415"/>
      <x:c r="BT50" s="415"/>
      <x:c r="BU50" s="415"/>
      <x:c r="BV50" s="415"/>
      <x:c r="BW50" s="415"/>
      <x:c r="BX50" s="415"/>
      <x:c r="BY50" s="415"/>
      <x:c r="BZ50" s="415"/>
      <x:c r="CA50" s="415"/>
      <x:c r="CB50" s="415"/>
      <x:c r="CC50" s="415"/>
      <x:c r="CD50" s="415"/>
      <x:c r="CE50" s="415"/>
      <x:c r="CF50" s="415"/>
      <x:c r="CG50" s="415"/>
      <x:c r="CH50" s="415"/>
      <x:c r="CI50" s="415"/>
      <x:c r="CJ50" s="415"/>
      <x:c r="CK50" s="415"/>
      <x:c r="CL50" s="415"/>
      <x:c r="CM50" s="415"/>
    </x:row>
    <x:row r="51" ht="22" customHeight="1">
      <x:c r="A51" s="839" t="s">
        <x:v>170</x:v>
      </x:c>
      <x:c r="B51" s="840" t="s">
        <x:v>41</x:v>
      </x:c>
      <x:c r="C51" s="827" t="n">
        <x:f>_xlfn.LET(_xlpm.r, MATCH($A51, Pivot!$A$11:$A$35, 0),_xlpm.c, MATCH(C$39, Pivot!$B$2:$EU$2, 0),IFERROR(INDEX(Pivot!$B$11:$EU$35, _xlpm.r, _xlpm.c), 0))</x:f>
        <x:v>585000</x:v>
      </x:c>
      <x:c r="D51" s="827" t="n">
        <x:f>_xlfn.LET(_xlpm.r, MATCH($A51, Pivot!$A$11:$A$35, 0),_xlpm.c, MATCH(D$39, Pivot!$B$2:$EU$2, 0),IFERROR(INDEX(Pivot!$B$11:$EU$35, _xlpm.r, _xlpm.c), 0))</x:f>
        <x:v>450000</x:v>
      </x:c>
      <x:c r="E51" s="841" t="n">
        <x:f>_xlfn.LET(_xlpm.r, MATCH($A51, Pivot!$A$11:$A$35, 0),_xlpm.c, MATCH(E$39, Pivot!$B$2:$EU$2, 0),IFERROR(INDEX(Pivot!$B$11:$EU$35, _xlpm.r, _xlpm.c), 0))</x:f>
        <x:v>5824500</x:v>
      </x:c>
      <x:c r="F51" s="841" t="n">
        <x:f>_xlfn.LET(_xlpm.r, MATCH($A51, Pivot!$A$11:$A$35, 0),_xlpm.c, MATCH(F$39, Pivot!$B$2:$EU$2, 0),IFERROR(INDEX(Pivot!$B$11:$EU$35, _xlpm.r, _xlpm.c), 0))</x:f>
        <x:v>1650000</x:v>
      </x:c>
      <x:c r="G51" s="842" t="n">
        <x:f>_xlfn.LET(_xlpm.r, MATCH($A51, Pivot!$A$11:$A$35, 0),_xlpm.c, MATCH(G$39, Pivot!$B$2:$EU$2, 0),IFERROR(INDEX(Pivot!$B$11:$EU$35, _xlpm.r, _xlpm.c), 0))</x:f>
        <x:v>4512000</x:v>
      </x:c>
      <x:c r="H51" s="842" t="n">
        <x:f>_xlfn.LET(_xlpm.r, MATCH($A51, Pivot!$A$11:$A$35, 0),_xlpm.c, MATCH(H$39, Pivot!$B$2:$EU$2, 0),IFERROR(INDEX(Pivot!$B$11:$EU$35, _xlpm.r, _xlpm.c), 0))</x:f>
        <x:v>7040000</x:v>
      </x:c>
      <x:c r="I51" s="843" t="n">
        <x:f>_xlfn.LET(_xlpm.r, MATCH($A51, Pivot!$A$11:$A$35, 0),_xlpm.c, MATCH(I$39, Pivot!$B$2:$EU$2, 0),IFERROR(INDEX(Pivot!$B$11:$EU$35, _xlpm.r, _xlpm.c), 0))</x:f>
        <x:v>6188000</x:v>
      </x:c>
      <x:c r="J51" s="843" t="n">
        <x:f>_xlfn.LET(_xlpm.r, MATCH($A51, Pivot!$A$11:$A$35, 0),_xlpm.c, MATCH(J$39, Pivot!$B$2:$EU$2, 0),IFERROR(INDEX(Pivot!$B$11:$EU$35, _xlpm.r, _xlpm.c), 0))</x:f>
        <x:v>2002000</x:v>
      </x:c>
      <x:c r="K51" s="844" t="n">
        <x:f>_xlfn.LET(_xlpm.r, MATCH($A51, Pivot!$A$11:$A$35, 0),_xlpm.c, MATCH(K$39, Pivot!$B$2:$EU$2, 0),IFERROR(INDEX(Pivot!$B$11:$EU$35, _xlpm.r, _xlpm.c), 0))</x:f>
        <x:v>3660000</x:v>
      </x:c>
      <x:c r="L51" s="844" t="e">
        <x:f>_xlfn.LET(_xlpm.r, MATCH($A51, Pivot!$A$11:$A$35, 0),_xlpm.c, MATCH(L$39, Pivot!$B$2:$EU$2, 0),IFERROR(INDEX(Pivot!$B$11:$EU$35, _xlpm.r, _xlpm.c), 0))</x:f>
        <x:v>#N/A</x:v>
      </x:c>
      <x:c r="M51" s="845" t="n">
        <x:f>_xlfn.LET(_xlpm.r, MATCH($A51, Pivot!$A$11:$A$35, 0),_xlpm.c, MATCH(M$39, Pivot!$B$2:$EU$2, 0),IFERROR(INDEX(Pivot!$B$11:$EU$35, _xlpm.r, _xlpm.c), 0))</x:f>
        <x:v>125550400</x:v>
      </x:c>
      <x:c r="N51" s="845" t="n">
        <x:f>_xlfn.LET(_xlpm.r, MATCH($A51, Pivot!$A$11:$A$35, 0),_xlpm.c, MATCH(N$39, Pivot!$B$2:$EU$2, 0),IFERROR(INDEX(Pivot!$B$11:$EU$35, _xlpm.r, _xlpm.c), 0))</x:f>
        <x:v>82265600</x:v>
      </x:c>
      <x:c r="O51" s="844" t="n">
        <x:f>_xlfn.LET(_xlpm.r, MATCH($A51, Pivot!$A$11:$A$35, 0),_xlpm.c, MATCH(O$39, Pivot!$B$2:$EU$2, 0),IFERROR(INDEX(Pivot!$B$11:$EU$35, _xlpm.r, _xlpm.c), 0))</x:f>
        <x:v>2320000</x:v>
      </x:c>
      <x:c r="P51" s="844" t="n">
        <x:f>_xlfn.LET(_xlpm.r, MATCH($A51, Pivot!$A$11:$A$35, 0),_xlpm.c, MATCH(P$39, Pivot!$B$2:$EU$2, 0),IFERROR(INDEX(Pivot!$B$11:$EU$35, _xlpm.r, _xlpm.c), 0))</x:f>
        <x:v>2088000</x:v>
      </x:c>
      <x:c r="Q51" s="842" t="n">
        <x:f>_xlfn.LET(_xlpm.r, MATCH($A51, Pivot!$A$11:$A$35, 0),_xlpm.c, MATCH(Q$39, Pivot!$B$2:$EU$2, 0),IFERROR(INDEX(Pivot!$B$11:$EU$35, _xlpm.r, _xlpm.c), 0))</x:f>
        <x:v>1955000</x:v>
      </x:c>
      <x:c r="R51" s="842" t="n">
        <x:f>_xlfn.LET(_xlpm.r, MATCH($A51, Pivot!$A$11:$A$35, 0),_xlpm.c, MATCH(R$39, Pivot!$B$2:$EU$2, 0),IFERROR(INDEX(Pivot!$B$11:$EU$35, _xlpm.r, _xlpm.c), 0))</x:f>
        <x:v>230000</x:v>
      </x:c>
      <x:c r="S51" s="841" t="e">
        <x:f>_xlfn.LET(_xlpm.r, MATCH($A51, Pivot!$A$11:$A$35, 0),_xlpm.c, MATCH(S$39, Pivot!$B$2:$EU$2, 0),IFERROR(INDEX(Pivot!$B$11:$EU$35, _xlpm.r, _xlpm.c), 0))</x:f>
        <x:v>#N/A</x:v>
      </x:c>
      <x:c r="T51" s="841" t="e">
        <x:f>_xlfn.LET(_xlpm.r, MATCH($A51, Pivot!$A$11:$A$35, 0),_xlpm.c, MATCH(T$39, Pivot!$B$2:$EU$2, 0),IFERROR(INDEX(Pivot!$B$11:$EU$35, _xlpm.r, _xlpm.c), 0))</x:f>
        <x:v>#N/A</x:v>
      </x:c>
      <x:c r="U51" s="845" t="e">
        <x:f>_xlfn.LET(_xlpm.r, MATCH($A51, Pivot!$A$11:$A$35, 0),_xlpm.c, MATCH(U$39, Pivot!$B$2:$EU$2, 0),IFERROR(INDEX(Pivot!$B$11:$EU$35, _xlpm.r, _xlpm.c), 0))</x:f>
        <x:v>#N/A</x:v>
      </x:c>
      <x:c r="V51" s="846" t="e">
        <x:f>_xlfn.LET(_xlpm.r, MATCH($A51, Pivot!$A$11:$A$35, 0),_xlpm.c, MATCH(V$39, Pivot!$B$2:$EU$2, 0),IFERROR(INDEX(Pivot!$B$11:$EU$35, _xlpm.r, _xlpm.c), 0))</x:f>
        <x:v>#N/A</x:v>
      </x:c>
      <x:c r="W51" s="383"/>
      <x:c r="X51" s="383"/>
      <x:c r="Y51" s="594"/>
      <x:c r="Z51" s="594"/>
      <x:c r="AA51" s="594"/>
      <x:c r="AB51" s="383"/>
      <x:c r="AC51" s="383"/>
      <x:c r="AD51" s="383"/>
      <x:c r="AE51" s="383"/>
      <x:c r="AF51" s="383"/>
      <x:c r="AG51" s="383"/>
      <x:c r="AH51" s="383"/>
      <x:c r="AI51" s="383"/>
      <x:c r="AJ51" s="383"/>
      <x:c r="AK51" s="383"/>
      <x:c r="AL51" s="383"/>
      <x:c r="AM51" s="383"/>
      <x:c r="AN51" s="383"/>
      <x:c r="AO51" s="383"/>
      <x:c r="AP51" s="383"/>
      <x:c r="AQ51" s="383"/>
      <x:c r="AR51" s="383"/>
      <x:c r="AS51" s="383"/>
      <x:c r="AT51" s="383"/>
      <x:c r="AU51" s="383"/>
      <x:c r="AV51" s="383"/>
      <x:c r="AW51" s="383"/>
      <x:c r="AX51" s="383"/>
      <x:c r="AY51" s="383"/>
      <x:c r="AZ51" s="383"/>
      <x:c r="BA51" s="383"/>
      <x:c r="BB51" s="383"/>
      <x:c r="BC51" s="383"/>
      <x:c r="BD51" s="383"/>
      <x:c r="BE51" s="383"/>
      <x:c r="BF51" s="383"/>
      <x:c r="BG51" s="383"/>
      <x:c r="BH51" s="383"/>
      <x:c r="BI51" s="383"/>
      <x:c r="BJ51" s="383"/>
      <x:c r="BK51" s="383"/>
      <x:c r="BL51" s="383"/>
      <x:c r="BM51" s="383"/>
      <x:c r="BN51" s="383"/>
      <x:c r="BO51" s="383"/>
      <x:c r="BP51" s="383"/>
      <x:c r="BQ51" s="383"/>
      <x:c r="BR51" s="383"/>
      <x:c r="BS51" s="383"/>
      <x:c r="BT51" s="383"/>
      <x:c r="BU51" s="383"/>
      <x:c r="BV51" s="383"/>
      <x:c r="BW51" s="383"/>
      <x:c r="BX51" s="383"/>
      <x:c r="BY51" s="383"/>
      <x:c r="BZ51" s="383"/>
      <x:c r="CA51" s="383"/>
      <x:c r="CB51" s="383"/>
      <x:c r="CC51" s="383"/>
      <x:c r="CD51" s="383"/>
      <x:c r="CE51" s="383"/>
      <x:c r="CF51" s="383"/>
      <x:c r="CG51" s="383"/>
      <x:c r="CH51" s="383"/>
      <x:c r="CI51" s="383"/>
      <x:c r="CJ51" s="383"/>
      <x:c r="CK51" s="383"/>
      <x:c r="CL51" s="383"/>
      <x:c r="CM51" s="383"/>
    </x:row>
    <x:row r="52" ht="22" customHeight="1">
      <x:c r="A52" s="894" t="s">
        <x:v>163</x:v>
      </x:c>
      <x:c r="B52" s="909" t="s">
        <x:v>199</x:v>
      </x:c>
      <x:c r="C52" s="910" t="n">
        <x:f>_xlfn.LET(_xlpm.r, MATCH($A52, Pivot!$A$11:$A$35, 0),_xlpm.c, MATCH(C$39, Pivot!$B$2:$EU$2, 0),IFERROR(INDEX(Pivot!$B$11:$EU$35, _xlpm.r, _xlpm.c), 0))</x:f>
        <x:v>300000</x:v>
      </x:c>
      <x:c r="D52" s="910" t="str">
        <x:f>_xlfn.LET(_xlpm.r, MATCH($A52, Pivot!$A$11:$A$35, 0),_xlpm.c, MATCH(D$39, Pivot!$B$2:$EU$2, 0),IFERROR(INDEX(Pivot!$B$11:$EU$35, _xlpm.r, _xlpm.c), 0))</x:f>
      </x:c>
      <x:c r="E52" s="911" t="n">
        <x:f>_xlfn.LET(_xlpm.r, MATCH($A52, Pivot!$A$11:$A$35, 0),_xlpm.c, MATCH(E$39, Pivot!$B$2:$EU$2, 0),IFERROR(INDEX(Pivot!$B$11:$EU$35, _xlpm.r, _xlpm.c), 0))</x:f>
        <x:v>385000</x:v>
      </x:c>
      <x:c r="F52" s="911" t="n">
        <x:f>_xlfn.LET(_xlpm.r, MATCH($A52, Pivot!$A$11:$A$35, 0),_xlpm.c, MATCH(F$39, Pivot!$B$2:$EU$2, 0),IFERROR(INDEX(Pivot!$B$11:$EU$35, _xlpm.r, _xlpm.c), 0))</x:f>
        <x:v>2255000</x:v>
      </x:c>
      <x:c r="G52" s="911" t="str">
        <x:f>_xlfn.LET(_xlpm.r, MATCH($A52, Pivot!$A$11:$A$35, 0),_xlpm.c, MATCH(G$39, Pivot!$B$2:$EU$2, 0),IFERROR(INDEX(Pivot!$B$11:$EU$35, _xlpm.r, _xlpm.c), 0))</x:f>
      </x:c>
      <x:c r="H52" s="911" t="n">
        <x:f>_xlfn.LET(_xlpm.r, MATCH($A52, Pivot!$A$11:$A$35, 0),_xlpm.c, MATCH(H$39, Pivot!$B$2:$EU$2, 0),IFERROR(INDEX(Pivot!$B$11:$EU$35, _xlpm.r, _xlpm.c), 0))</x:f>
        <x:v>320000</x:v>
      </x:c>
      <x:c r="I52" s="911" t="n">
        <x:f>_xlfn.LET(_xlpm.r, MATCH($A52, Pivot!$A$11:$A$35, 0),_xlpm.c, MATCH(I$39, Pivot!$B$2:$EU$2, 0),IFERROR(INDEX(Pivot!$B$11:$EU$35, _xlpm.r, _xlpm.c), 0))</x:f>
        <x:v>91000</x:v>
      </x:c>
      <x:c r="J52" s="911" t="str">
        <x:f>_xlfn.LET(_xlpm.r, MATCH($A52, Pivot!$A$11:$A$35, 0),_xlpm.c, MATCH(J$39, Pivot!$B$2:$EU$2, 0),IFERROR(INDEX(Pivot!$B$11:$EU$35, _xlpm.r, _xlpm.c), 0))</x:f>
      </x:c>
      <x:c r="K52" s="911" t="str">
        <x:f>_xlfn.LET(_xlpm.r, MATCH($A52, Pivot!$A$11:$A$35, 0),_xlpm.c, MATCH(K$39, Pivot!$B$2:$EU$2, 0),IFERROR(INDEX(Pivot!$B$11:$EU$35, _xlpm.r, _xlpm.c), 0))</x:f>
      </x:c>
      <x:c r="L52" s="911" t="e">
        <x:f>_xlfn.LET(_xlpm.r, MATCH($A52, Pivot!$A$11:$A$35, 0),_xlpm.c, MATCH(L$39, Pivot!$B$2:$EU$2, 0),IFERROR(INDEX(Pivot!$B$11:$EU$35, _xlpm.r, _xlpm.c), 0))</x:f>
        <x:v>#N/A</x:v>
      </x:c>
      <x:c r="M52" s="912" t="n">
        <x:f>_xlfn.LET(_xlpm.r, MATCH($A52, Pivot!$A$11:$A$35, 0),_xlpm.c, MATCH(M$39, Pivot!$B$2:$EU$2, 0),IFERROR(INDEX(Pivot!$B$11:$EU$35, _xlpm.r, _xlpm.c), 0))</x:f>
        <x:v>8886200</x:v>
      </x:c>
      <x:c r="N52" s="912" t="n">
        <x:f>_xlfn.LET(_xlpm.r, MATCH($A52, Pivot!$A$11:$A$35, 0),_xlpm.c, MATCH(N$39, Pivot!$B$2:$EU$2, 0),IFERROR(INDEX(Pivot!$B$11:$EU$35, _xlpm.r, _xlpm.c), 0))</x:f>
        <x:v>12935200</x:v>
      </x:c>
      <x:c r="O52" s="911" t="n">
        <x:f>_xlfn.LET(_xlpm.r, MATCH($A52, Pivot!$A$11:$A$35, 0),_xlpm.c, MATCH(O$39, Pivot!$B$2:$EU$2, 0),IFERROR(INDEX(Pivot!$B$11:$EU$35, _xlpm.r, _xlpm.c), 0))</x:f>
        <x:v>464000</x:v>
      </x:c>
      <x:c r="P52" s="911" t="n">
        <x:f>_xlfn.LET(_xlpm.r, MATCH($A52, Pivot!$A$11:$A$35, 0),_xlpm.c, MATCH(P$39, Pivot!$B$2:$EU$2, 0),IFERROR(INDEX(Pivot!$B$11:$EU$35, _xlpm.r, _xlpm.c), 0))</x:f>
        <x:v>232000</x:v>
      </x:c>
      <x:c r="Q52" s="911" t="str">
        <x:f>_xlfn.LET(_xlpm.r, MATCH($A52, Pivot!$A$11:$A$35, 0),_xlpm.c, MATCH(Q$39, Pivot!$B$2:$EU$2, 0),IFERROR(INDEX(Pivot!$B$11:$EU$35, _xlpm.r, _xlpm.c), 0))</x:f>
      </x:c>
      <x:c r="R52" s="911" t="n">
        <x:f>_xlfn.LET(_xlpm.r, MATCH($A52, Pivot!$A$11:$A$35, 0),_xlpm.c, MATCH(R$39, Pivot!$B$2:$EU$2, 0),IFERROR(INDEX(Pivot!$B$11:$EU$35, _xlpm.r, _xlpm.c), 0))</x:f>
        <x:v>920000</x:v>
      </x:c>
      <x:c r="S52" s="911" t="e">
        <x:f>_xlfn.LET(_xlpm.r, MATCH($A52, Pivot!$A$11:$A$35, 0),_xlpm.c, MATCH(S$39, Pivot!$B$2:$EU$2, 0),IFERROR(INDEX(Pivot!$B$11:$EU$35, _xlpm.r, _xlpm.c), 0))</x:f>
        <x:v>#N/A</x:v>
      </x:c>
      <x:c r="T52" s="911" t="e">
        <x:f>_xlfn.LET(_xlpm.r, MATCH($A52, Pivot!$A$11:$A$35, 0),_xlpm.c, MATCH(T$39, Pivot!$B$2:$EU$2, 0),IFERROR(INDEX(Pivot!$B$11:$EU$35, _xlpm.r, _xlpm.c), 0))</x:f>
        <x:v>#N/A</x:v>
      </x:c>
      <x:c r="U52" s="912" t="e">
        <x:f>_xlfn.LET(_xlpm.r, MATCH($A52, Pivot!$A$11:$A$35, 0),_xlpm.c, MATCH(U$39, Pivot!$B$2:$EU$2, 0),IFERROR(INDEX(Pivot!$B$11:$EU$35, _xlpm.r, _xlpm.c), 0))</x:f>
        <x:v>#N/A</x:v>
      </x:c>
      <x:c r="V52" s="913" t="e">
        <x:f>_xlfn.LET(_xlpm.r, MATCH($A52, Pivot!$A$11:$A$35, 0),_xlpm.c, MATCH(V$39, Pivot!$B$2:$EU$2, 0),IFERROR(INDEX(Pivot!$B$11:$EU$35, _xlpm.r, _xlpm.c), 0))</x:f>
        <x:v>#N/A</x:v>
      </x:c>
      <x:c r="W52" s="415"/>
      <x:c r="X52" s="415"/>
      <x:c r="Y52" s="631"/>
      <x:c r="Z52" s="631"/>
      <x:c r="AA52" s="631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  <x:c r="AM52" s="415"/>
      <x:c r="AN52" s="415"/>
      <x:c r="AO52" s="415"/>
      <x:c r="AP52" s="415"/>
      <x:c r="AQ52" s="415"/>
      <x:c r="AR52" s="415"/>
      <x:c r="AS52" s="415"/>
      <x:c r="AT52" s="415"/>
      <x:c r="AU52" s="415"/>
      <x:c r="AV52" s="415"/>
      <x:c r="AW52" s="415"/>
      <x:c r="AX52" s="415"/>
      <x:c r="AY52" s="415"/>
      <x:c r="AZ52" s="415"/>
      <x:c r="BA52" s="415"/>
      <x:c r="BB52" s="415"/>
      <x:c r="BC52" s="415"/>
      <x:c r="BD52" s="415"/>
      <x:c r="BE52" s="415"/>
      <x:c r="BF52" s="415"/>
      <x:c r="BG52" s="415"/>
      <x:c r="BH52" s="415"/>
      <x:c r="BI52" s="415"/>
      <x:c r="BJ52" s="415"/>
      <x:c r="BK52" s="415"/>
      <x:c r="BL52" s="415"/>
      <x:c r="BM52" s="415"/>
      <x:c r="BN52" s="415"/>
      <x:c r="BO52" s="415"/>
      <x:c r="BP52" s="415"/>
      <x:c r="BQ52" s="415"/>
      <x:c r="BR52" s="415"/>
      <x:c r="BS52" s="415"/>
      <x:c r="BT52" s="415"/>
      <x:c r="BU52" s="415"/>
      <x:c r="BV52" s="415"/>
      <x:c r="BW52" s="415"/>
      <x:c r="BX52" s="415"/>
      <x:c r="BY52" s="415"/>
      <x:c r="BZ52" s="415"/>
      <x:c r="CA52" s="415"/>
      <x:c r="CB52" s="415"/>
      <x:c r="CC52" s="415"/>
      <x:c r="CD52" s="415"/>
      <x:c r="CE52" s="415"/>
      <x:c r="CF52" s="415"/>
      <x:c r="CG52" s="415"/>
      <x:c r="CH52" s="415"/>
      <x:c r="CI52" s="415"/>
      <x:c r="CJ52" s="415"/>
      <x:c r="CK52" s="415"/>
      <x:c r="CL52" s="415"/>
      <x:c r="CM52" s="415"/>
    </x:row>
    <x:row r="53" ht="22" customHeight="1">
      <x:c r="A53" s="839" t="s">
        <x:v>158</x:v>
      </x:c>
      <x:c r="B53" s="840" t="s">
        <x:v>19</x:v>
      </x:c>
      <x:c r="C53" s="827" t="str">
        <x:f>_xlfn.LET(_xlpm.r, MATCH($A53, Pivot!$A$11:$A$35, 0),_xlpm.c, MATCH(C$39, Pivot!$B$2:$EU$2, 0),IFERROR(INDEX(Pivot!$B$11:$EU$35, _xlpm.r, _xlpm.c), 0))</x:f>
      </x:c>
      <x:c r="D53" s="827" t="n">
        <x:f>_xlfn.LET(_xlpm.r, MATCH($A53, Pivot!$A$11:$A$35, 0),_xlpm.c, MATCH(D$39, Pivot!$B$2:$EU$2, 0),IFERROR(INDEX(Pivot!$B$11:$EU$35, _xlpm.r, _xlpm.c), 0))</x:f>
        <x:v>495000</x:v>
      </x:c>
      <x:c r="E53" s="841" t="n">
        <x:f>_xlfn.LET(_xlpm.r, MATCH($A53, Pivot!$A$11:$A$35, 0),_xlpm.c, MATCH(E$39, Pivot!$B$2:$EU$2, 0),IFERROR(INDEX(Pivot!$B$11:$EU$35, _xlpm.r, _xlpm.c), 0))</x:f>
        <x:v>533500</x:v>
      </x:c>
      <x:c r="F53" s="841" t="n">
        <x:f>_xlfn.LET(_xlpm.r, MATCH($A53, Pivot!$A$11:$A$35, 0),_xlpm.c, MATCH(F$39, Pivot!$B$2:$EU$2, 0),IFERROR(INDEX(Pivot!$B$11:$EU$35, _xlpm.r, _xlpm.c), 0))</x:f>
        <x:v>4026000</x:v>
      </x:c>
      <x:c r="G53" s="842" t="n">
        <x:f>_xlfn.LET(_xlpm.r, MATCH($A53, Pivot!$A$11:$A$35, 0),_xlpm.c, MATCH(G$39, Pivot!$B$2:$EU$2, 0),IFERROR(INDEX(Pivot!$B$11:$EU$35, _xlpm.r, _xlpm.c), 0))</x:f>
        <x:v>64000</x:v>
      </x:c>
      <x:c r="H53" s="842" t="n">
        <x:f>_xlfn.LET(_xlpm.r, MATCH($A53, Pivot!$A$11:$A$35, 0),_xlpm.c, MATCH(H$39, Pivot!$B$2:$EU$2, 0),IFERROR(INDEX(Pivot!$B$11:$EU$35, _xlpm.r, _xlpm.c), 0))</x:f>
        <x:v>2208000</x:v>
      </x:c>
      <x:c r="I53" s="843" t="n">
        <x:f>_xlfn.LET(_xlpm.r, MATCH($A53, Pivot!$A$11:$A$35, 0),_xlpm.c, MATCH(I$39, Pivot!$B$2:$EU$2, 0),IFERROR(INDEX(Pivot!$B$11:$EU$35, _xlpm.r, _xlpm.c), 0))</x:f>
        <x:v>273000</x:v>
      </x:c>
      <x:c r="J53" s="843" t="n">
        <x:f>_xlfn.LET(_xlpm.r, MATCH($A53, Pivot!$A$11:$A$35, 0),_xlpm.c, MATCH(J$39, Pivot!$B$2:$EU$2, 0),IFERROR(INDEX(Pivot!$B$11:$EU$35, _xlpm.r, _xlpm.c), 0))</x:f>
        <x:v>6916000</x:v>
      </x:c>
      <x:c r="K53" s="844" t="str">
        <x:f>_xlfn.LET(_xlpm.r, MATCH($A53, Pivot!$A$11:$A$35, 0),_xlpm.c, MATCH(K$39, Pivot!$B$2:$EU$2, 0),IFERROR(INDEX(Pivot!$B$11:$EU$35, _xlpm.r, _xlpm.c), 0))</x:f>
      </x:c>
      <x:c r="L53" s="844" t="e">
        <x:f>_xlfn.LET(_xlpm.r, MATCH($A53, Pivot!$A$11:$A$35, 0),_xlpm.c, MATCH(L$39, Pivot!$B$2:$EU$2, 0),IFERROR(INDEX(Pivot!$B$11:$EU$35, _xlpm.r, _xlpm.c), 0))</x:f>
        <x:v>#N/A</x:v>
      </x:c>
      <x:c r="M53" s="845" t="n">
        <x:f>_xlfn.LET(_xlpm.r, MATCH($A53, Pivot!$A$11:$A$35, 0),_xlpm.c, MATCH(M$39, Pivot!$B$2:$EU$2, 0),IFERROR(INDEX(Pivot!$B$11:$EU$35, _xlpm.r, _xlpm.c), 0))</x:f>
        <x:v>11051000</x:v>
      </x:c>
      <x:c r="N53" s="845" t="n">
        <x:f>_xlfn.LET(_xlpm.r, MATCH($A53, Pivot!$A$11:$A$35, 0),_xlpm.c, MATCH(N$39, Pivot!$B$2:$EU$2, 0),IFERROR(INDEX(Pivot!$B$11:$EU$35, _xlpm.r, _xlpm.c), 0))</x:f>
        <x:v>71629800</x:v>
      </x:c>
      <x:c r="O53" s="844" t="n">
        <x:f>_xlfn.LET(_xlpm.r, MATCH($A53, Pivot!$A$11:$A$35, 0),_xlpm.c, MATCH(O$39, Pivot!$B$2:$EU$2, 0),IFERROR(INDEX(Pivot!$B$11:$EU$35, _xlpm.r, _xlpm.c), 0))</x:f>
        <x:v>696000</x:v>
      </x:c>
      <x:c r="P53" s="844" t="n">
        <x:f>_xlfn.LET(_xlpm.r, MATCH($A53, Pivot!$A$11:$A$35, 0),_xlpm.c, MATCH(P$39, Pivot!$B$2:$EU$2, 0),IFERROR(INDEX(Pivot!$B$11:$EU$35, _xlpm.r, _xlpm.c), 0))</x:f>
        <x:v>4408000</x:v>
      </x:c>
      <x:c r="Q53" s="842" t="n">
        <x:f>_xlfn.LET(_xlpm.r, MATCH($A53, Pivot!$A$11:$A$35, 0),_xlpm.c, MATCH(Q$39, Pivot!$B$2:$EU$2, 0),IFERROR(INDEX(Pivot!$B$11:$EU$35, _xlpm.r, _xlpm.c), 0))</x:f>
        <x:v>230000</x:v>
      </x:c>
      <x:c r="R53" s="842" t="n">
        <x:f>_xlfn.LET(_xlpm.r, MATCH($A53, Pivot!$A$11:$A$35, 0),_xlpm.c, MATCH(R$39, Pivot!$B$2:$EU$2, 0),IFERROR(INDEX(Pivot!$B$11:$EU$35, _xlpm.r, _xlpm.c), 0))</x:f>
        <x:v>2990000</x:v>
      </x:c>
      <x:c r="S53" s="841" t="e">
        <x:f>_xlfn.LET(_xlpm.r, MATCH($A53, Pivot!$A$11:$A$35, 0),_xlpm.c, MATCH(S$39, Pivot!$B$2:$EU$2, 0),IFERROR(INDEX(Pivot!$B$11:$EU$35, _xlpm.r, _xlpm.c), 0))</x:f>
        <x:v>#N/A</x:v>
      </x:c>
      <x:c r="T53" s="841" t="e">
        <x:f>_xlfn.LET(_xlpm.r, MATCH($A53, Pivot!$A$11:$A$35, 0),_xlpm.c, MATCH(T$39, Pivot!$B$2:$EU$2, 0),IFERROR(INDEX(Pivot!$B$11:$EU$35, _xlpm.r, _xlpm.c), 0))</x:f>
        <x:v>#N/A</x:v>
      </x:c>
      <x:c r="U53" s="845" t="e">
        <x:f>_xlfn.LET(_xlpm.r, MATCH($A53, Pivot!$A$11:$A$35, 0),_xlpm.c, MATCH(U$39, Pivot!$B$2:$EU$2, 0),IFERROR(INDEX(Pivot!$B$11:$EU$35, _xlpm.r, _xlpm.c), 0))</x:f>
        <x:v>#N/A</x:v>
      </x:c>
      <x:c r="V53" s="846" t="e">
        <x:f>_xlfn.LET(_xlpm.r, MATCH($A53, Pivot!$A$11:$A$35, 0),_xlpm.c, MATCH(V$39, Pivot!$B$2:$EU$2, 0),IFERROR(INDEX(Pivot!$B$11:$EU$35, _xlpm.r, _xlpm.c), 0))</x:f>
        <x:v>#N/A</x:v>
      </x:c>
      <x:c r="W53" s="383"/>
      <x:c r="X53" s="383"/>
      <x:c r="Y53" s="594"/>
      <x:c r="Z53" s="594"/>
      <x:c r="AA53" s="594"/>
      <x:c r="AB53" s="383"/>
      <x:c r="AC53" s="383"/>
      <x:c r="AD53" s="383"/>
      <x:c r="AE53" s="383"/>
      <x:c r="AF53" s="383"/>
      <x:c r="AG53" s="383"/>
      <x:c r="AH53" s="383"/>
      <x:c r="AI53" s="383"/>
      <x:c r="AJ53" s="383"/>
      <x:c r="AK53" s="383"/>
      <x:c r="AL53" s="383"/>
      <x:c r="AM53" s="383"/>
      <x:c r="AN53" s="383"/>
      <x:c r="AO53" s="383"/>
      <x:c r="AP53" s="383"/>
      <x:c r="AQ53" s="383"/>
      <x:c r="AR53" s="383"/>
      <x:c r="AS53" s="383"/>
      <x:c r="AT53" s="383"/>
      <x:c r="AU53" s="383"/>
      <x:c r="AV53" s="383"/>
      <x:c r="AW53" s="383"/>
      <x:c r="AX53" s="383"/>
      <x:c r="AY53" s="383"/>
      <x:c r="AZ53" s="383"/>
      <x:c r="BA53" s="383"/>
      <x:c r="BB53" s="383"/>
      <x:c r="BC53" s="383"/>
      <x:c r="BD53" s="383"/>
      <x:c r="BE53" s="383"/>
      <x:c r="BF53" s="383"/>
      <x:c r="BG53" s="383"/>
      <x:c r="BH53" s="383"/>
      <x:c r="BI53" s="383"/>
      <x:c r="BJ53" s="383"/>
      <x:c r="BK53" s="383"/>
      <x:c r="BL53" s="383"/>
      <x:c r="BM53" s="383"/>
      <x:c r="BN53" s="383"/>
      <x:c r="BO53" s="383"/>
      <x:c r="BP53" s="383"/>
      <x:c r="BQ53" s="383"/>
      <x:c r="BR53" s="383"/>
      <x:c r="BS53" s="383"/>
      <x:c r="BT53" s="383"/>
      <x:c r="BU53" s="383"/>
      <x:c r="BV53" s="383"/>
      <x:c r="BW53" s="383"/>
      <x:c r="BX53" s="383"/>
      <x:c r="BY53" s="383"/>
      <x:c r="BZ53" s="383"/>
      <x:c r="CA53" s="383"/>
      <x:c r="CB53" s="383"/>
      <x:c r="CC53" s="383"/>
      <x:c r="CD53" s="383"/>
      <x:c r="CE53" s="383"/>
      <x:c r="CF53" s="383"/>
      <x:c r="CG53" s="383"/>
      <x:c r="CH53" s="383"/>
      <x:c r="CI53" s="383"/>
      <x:c r="CJ53" s="383"/>
      <x:c r="CK53" s="383"/>
      <x:c r="CL53" s="383"/>
      <x:c r="CM53" s="383"/>
    </x:row>
    <x:row r="54" ht="22" customHeight="1">
      <x:c r="A54" s="894" t="s">
        <x:v>165</x:v>
      </x:c>
      <x:c r="B54" s="909" t="s">
        <x:v>31</x:v>
      </x:c>
      <x:c r="C54" s="910" t="str">
        <x:f>_xlfn.LET(_xlpm.r, MATCH($A54, Pivot!$A$11:$A$35, 0),_xlpm.c, MATCH(C$39, Pivot!$B$2:$EU$2, 0),IFERROR(INDEX(Pivot!$B$11:$EU$35, _xlpm.r, _xlpm.c), 0))</x:f>
      </x:c>
      <x:c r="D54" s="910" t="n">
        <x:f>_xlfn.LET(_xlpm.r, MATCH($A54, Pivot!$A$11:$A$35, 0),_xlpm.c, MATCH(D$39, Pivot!$B$2:$EU$2, 0),IFERROR(INDEX(Pivot!$B$11:$EU$35, _xlpm.r, _xlpm.c), 0))</x:f>
        <x:v>15000</x:v>
      </x:c>
      <x:c r="E54" s="911" t="n">
        <x:f>_xlfn.LET(_xlpm.r, MATCH($A54, Pivot!$A$11:$A$35, 0),_xlpm.c, MATCH(E$39, Pivot!$B$2:$EU$2, 0),IFERROR(INDEX(Pivot!$B$11:$EU$35, _xlpm.r, _xlpm.c), 0))</x:f>
        <x:v>302500</x:v>
      </x:c>
      <x:c r="F54" s="911" t="n">
        <x:f>_xlfn.LET(_xlpm.r, MATCH($A54, Pivot!$A$11:$A$35, 0),_xlpm.c, MATCH(F$39, Pivot!$B$2:$EU$2, 0),IFERROR(INDEX(Pivot!$B$11:$EU$35, _xlpm.r, _xlpm.c), 0))</x:f>
        <x:v>3492500</x:v>
      </x:c>
      <x:c r="G54" s="911" t="str">
        <x:f>_xlfn.LET(_xlpm.r, MATCH($A54, Pivot!$A$11:$A$35, 0),_xlpm.c, MATCH(G$39, Pivot!$B$2:$EU$2, 0),IFERROR(INDEX(Pivot!$B$11:$EU$35, _xlpm.r, _xlpm.c), 0))</x:f>
      </x:c>
      <x:c r="H54" s="911" t="n">
        <x:f>_xlfn.LET(_xlpm.r, MATCH($A54, Pivot!$A$11:$A$35, 0),_xlpm.c, MATCH(H$39, Pivot!$B$2:$EU$2, 0),IFERROR(INDEX(Pivot!$B$11:$EU$35, _xlpm.r, _xlpm.c), 0))</x:f>
        <x:v>2912000</x:v>
      </x:c>
      <x:c r="I54" s="911" t="n">
        <x:f>_xlfn.LET(_xlpm.r, MATCH($A54, Pivot!$A$11:$A$35, 0),_xlpm.c, MATCH(I$39, Pivot!$B$2:$EU$2, 0),IFERROR(INDEX(Pivot!$B$11:$EU$35, _xlpm.r, _xlpm.c), 0))</x:f>
        <x:v>182000</x:v>
      </x:c>
      <x:c r="J54" s="911" t="n">
        <x:f>_xlfn.LET(_xlpm.r, MATCH($A54, Pivot!$A$11:$A$35, 0),_xlpm.c, MATCH(J$39, Pivot!$B$2:$EU$2, 0),IFERROR(INDEX(Pivot!$B$11:$EU$35, _xlpm.r, _xlpm.c), 0))</x:f>
        <x:v>6370000</x:v>
      </x:c>
      <x:c r="K54" s="911" t="n">
        <x:f>_xlfn.LET(_xlpm.r, MATCH($A54, Pivot!$A$11:$A$35, 0),_xlpm.c, MATCH(K$39, Pivot!$B$2:$EU$2, 0),IFERROR(INDEX(Pivot!$B$11:$EU$35, _xlpm.r, _xlpm.c), 0))</x:f>
        <x:v>300000</x:v>
      </x:c>
      <x:c r="L54" s="911" t="e">
        <x:f>_xlfn.LET(_xlpm.r, MATCH($A54, Pivot!$A$11:$A$35, 0),_xlpm.c, MATCH(L$39, Pivot!$B$2:$EU$2, 0),IFERROR(INDEX(Pivot!$B$11:$EU$35, _xlpm.r, _xlpm.c), 0))</x:f>
        <x:v>#N/A</x:v>
      </x:c>
      <x:c r="M54" s="912" t="n">
        <x:f>_xlfn.LET(_xlpm.r, MATCH($A54, Pivot!$A$11:$A$35, 0),_xlpm.c, MATCH(M$39, Pivot!$B$2:$EU$2, 0),IFERROR(INDEX(Pivot!$B$11:$EU$35, _xlpm.r, _xlpm.c), 0))</x:f>
        <x:v>20124200</x:v>
      </x:c>
      <x:c r="N54" s="912" t="n">
        <x:f>_xlfn.LET(_xlpm.r, MATCH($A54, Pivot!$A$11:$A$35, 0),_xlpm.c, MATCH(N$39, Pivot!$B$2:$EU$2, 0),IFERROR(INDEX(Pivot!$B$11:$EU$35, _xlpm.r, _xlpm.c), 0))</x:f>
        <x:v>117805800</x:v>
      </x:c>
      <x:c r="O54" s="911" t="n">
        <x:f>_xlfn.LET(_xlpm.r, MATCH($A54, Pivot!$A$11:$A$35, 0),_xlpm.c, MATCH(O$39, Pivot!$B$2:$EU$2, 0),IFERROR(INDEX(Pivot!$B$11:$EU$35, _xlpm.r, _xlpm.c), 0))</x:f>
        <x:v>928000</x:v>
      </x:c>
      <x:c r="P54" s="911" t="n">
        <x:f>_xlfn.LET(_xlpm.r, MATCH($A54, Pivot!$A$11:$A$35, 0),_xlpm.c, MATCH(P$39, Pivot!$B$2:$EU$2, 0),IFERROR(INDEX(Pivot!$B$11:$EU$35, _xlpm.r, _xlpm.c), 0))</x:f>
        <x:v>4408000</x:v>
      </x:c>
      <x:c r="Q54" s="911" t="str">
        <x:f>_xlfn.LET(_xlpm.r, MATCH($A54, Pivot!$A$11:$A$35, 0),_xlpm.c, MATCH(Q$39, Pivot!$B$2:$EU$2, 0),IFERROR(INDEX(Pivot!$B$11:$EU$35, _xlpm.r, _xlpm.c), 0))</x:f>
      </x:c>
      <x:c r="R54" s="911" t="n">
        <x:f>_xlfn.LET(_xlpm.r, MATCH($A54, Pivot!$A$11:$A$35, 0),_xlpm.c, MATCH(R$39, Pivot!$B$2:$EU$2, 0),IFERROR(INDEX(Pivot!$B$11:$EU$35, _xlpm.r, _xlpm.c), 0))</x:f>
        <x:v>230000</x:v>
      </x:c>
      <x:c r="S54" s="911" t="e">
        <x:f>_xlfn.LET(_xlpm.r, MATCH($A54, Pivot!$A$11:$A$35, 0),_xlpm.c, MATCH(S$39, Pivot!$B$2:$EU$2, 0),IFERROR(INDEX(Pivot!$B$11:$EU$35, _xlpm.r, _xlpm.c), 0))</x:f>
        <x:v>#N/A</x:v>
      </x:c>
      <x:c r="T54" s="911" t="e">
        <x:f>_xlfn.LET(_xlpm.r, MATCH($A54, Pivot!$A$11:$A$35, 0),_xlpm.c, MATCH(T$39, Pivot!$B$2:$EU$2, 0),IFERROR(INDEX(Pivot!$B$11:$EU$35, _xlpm.r, _xlpm.c), 0))</x:f>
        <x:v>#N/A</x:v>
      </x:c>
      <x:c r="U54" s="912" t="e">
        <x:f>_xlfn.LET(_xlpm.r, MATCH($A54, Pivot!$A$11:$A$35, 0),_xlpm.c, MATCH(U$39, Pivot!$B$2:$EU$2, 0),IFERROR(INDEX(Pivot!$B$11:$EU$35, _xlpm.r, _xlpm.c), 0))</x:f>
        <x:v>#N/A</x:v>
      </x:c>
      <x:c r="V54" s="913" t="e">
        <x:f>_xlfn.LET(_xlpm.r, MATCH($A54, Pivot!$A$11:$A$35, 0),_xlpm.c, MATCH(V$39, Pivot!$B$2:$EU$2, 0),IFERROR(INDEX(Pivot!$B$11:$EU$35, _xlpm.r, _xlpm.c), 0))</x:f>
        <x:v>#N/A</x:v>
      </x:c>
      <x:c r="W54" s="415"/>
      <x:c r="X54" s="415"/>
      <x:c r="Y54" s="631"/>
      <x:c r="Z54" s="631"/>
      <x:c r="AA54" s="631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  <x:c r="AM54" s="415"/>
      <x:c r="AN54" s="415"/>
      <x:c r="AO54" s="415"/>
      <x:c r="AP54" s="415"/>
      <x:c r="AQ54" s="415"/>
      <x:c r="AR54" s="415"/>
      <x:c r="AS54" s="415"/>
      <x:c r="AT54" s="415"/>
      <x:c r="AU54" s="415"/>
      <x:c r="AV54" s="415"/>
      <x:c r="AW54" s="415"/>
      <x:c r="AX54" s="415"/>
      <x:c r="AY54" s="415"/>
      <x:c r="AZ54" s="415"/>
      <x:c r="BA54" s="415"/>
      <x:c r="BB54" s="415"/>
      <x:c r="BC54" s="415"/>
      <x:c r="BD54" s="415"/>
      <x:c r="BE54" s="415"/>
      <x:c r="BF54" s="415"/>
      <x:c r="BG54" s="415"/>
      <x:c r="BH54" s="415"/>
      <x:c r="BI54" s="415"/>
      <x:c r="BJ54" s="415"/>
      <x:c r="BK54" s="415"/>
      <x:c r="BL54" s="415"/>
      <x:c r="BM54" s="415"/>
      <x:c r="BN54" s="415"/>
      <x:c r="BO54" s="415"/>
      <x:c r="BP54" s="415"/>
      <x:c r="BQ54" s="415"/>
      <x:c r="BR54" s="415"/>
      <x:c r="BS54" s="415"/>
      <x:c r="BT54" s="415"/>
      <x:c r="BU54" s="415"/>
      <x:c r="BV54" s="415"/>
      <x:c r="BW54" s="415"/>
      <x:c r="BX54" s="415"/>
      <x:c r="BY54" s="415"/>
      <x:c r="BZ54" s="415"/>
      <x:c r="CA54" s="415"/>
      <x:c r="CB54" s="415"/>
      <x:c r="CC54" s="415"/>
      <x:c r="CD54" s="415"/>
      <x:c r="CE54" s="415"/>
      <x:c r="CF54" s="415"/>
      <x:c r="CG54" s="415"/>
      <x:c r="CH54" s="415"/>
      <x:c r="CI54" s="415"/>
      <x:c r="CJ54" s="415"/>
      <x:c r="CK54" s="415"/>
      <x:c r="CL54" s="415"/>
      <x:c r="CM54" s="415"/>
    </x:row>
    <x:row r="55" ht="22" customHeight="1">
      <x:c r="A55" s="839" t="s">
        <x:v>176</x:v>
      </x:c>
      <x:c r="B55" s="840" t="s">
        <x:v>53</x:v>
      </x:c>
      <x:c r="C55" s="827" t="str">
        <x:f>_xlfn.LET(_xlpm.r, MATCH($A55, Pivot!$A$11:$A$35, 0),_xlpm.c, MATCH(C$39, Pivot!$B$2:$EU$2, 0),IFERROR(INDEX(Pivot!$B$11:$EU$35, _xlpm.r, _xlpm.c), 0))</x:f>
      </x:c>
      <x:c r="D55" s="827" t="str">
        <x:f>_xlfn.LET(_xlpm.r, MATCH($A55, Pivot!$A$11:$A$35, 0),_xlpm.c, MATCH(D$39, Pivot!$B$2:$EU$2, 0),IFERROR(INDEX(Pivot!$B$11:$EU$35, _xlpm.r, _xlpm.c), 0))</x:f>
      </x:c>
      <x:c r="E55" s="841" t="n">
        <x:f>_xlfn.LET(_xlpm.r, MATCH($A55, Pivot!$A$11:$A$35, 0),_xlpm.c, MATCH(E$39, Pivot!$B$2:$EU$2, 0),IFERROR(INDEX(Pivot!$B$11:$EU$35, _xlpm.r, _xlpm.c), 0))</x:f>
        <x:v>797500</x:v>
      </x:c>
      <x:c r="F55" s="841" t="n">
        <x:f>_xlfn.LET(_xlpm.r, MATCH($A55, Pivot!$A$11:$A$35, 0),_xlpm.c, MATCH(F$39, Pivot!$B$2:$EU$2, 0),IFERROR(INDEX(Pivot!$B$11:$EU$35, _xlpm.r, _xlpm.c), 0))</x:f>
        <x:v>1045000</x:v>
      </x:c>
      <x:c r="G55" s="842" t="str">
        <x:f>_xlfn.LET(_xlpm.r, MATCH($A55, Pivot!$A$11:$A$35, 0),_xlpm.c, MATCH(G$39, Pivot!$B$2:$EU$2, 0),IFERROR(INDEX(Pivot!$B$11:$EU$35, _xlpm.r, _xlpm.c), 0))</x:f>
      </x:c>
      <x:c r="H55" s="842" t="n">
        <x:f>_xlfn.LET(_xlpm.r, MATCH($A55, Pivot!$A$11:$A$35, 0),_xlpm.c, MATCH(H$39, Pivot!$B$2:$EU$2, 0),IFERROR(INDEX(Pivot!$B$11:$EU$35, _xlpm.r, _xlpm.c), 0))</x:f>
        <x:v>960000</x:v>
      </x:c>
      <x:c r="I55" s="843" t="n">
        <x:f>_xlfn.LET(_xlpm.r, MATCH($A55, Pivot!$A$11:$A$35, 0),_xlpm.c, MATCH(I$39, Pivot!$B$2:$EU$2, 0),IFERROR(INDEX(Pivot!$B$11:$EU$35, _xlpm.r, _xlpm.c), 0))</x:f>
        <x:v>182000</x:v>
      </x:c>
      <x:c r="J55" s="843" t="str">
        <x:f>_xlfn.LET(_xlpm.r, MATCH($A55, Pivot!$A$11:$A$35, 0),_xlpm.c, MATCH(J$39, Pivot!$B$2:$EU$2, 0),IFERROR(INDEX(Pivot!$B$11:$EU$35, _xlpm.r, _xlpm.c), 0))</x:f>
      </x:c>
      <x:c r="K55" s="844" t="n">
        <x:f>_xlfn.LET(_xlpm.r, MATCH($A55, Pivot!$A$11:$A$35, 0),_xlpm.c, MATCH(K$39, Pivot!$B$2:$EU$2, 0),IFERROR(INDEX(Pivot!$B$11:$EU$35, _xlpm.r, _xlpm.c), 0))</x:f>
        <x:v>750000</x:v>
      </x:c>
      <x:c r="L55" s="844" t="e">
        <x:f>_xlfn.LET(_xlpm.r, MATCH($A55, Pivot!$A$11:$A$35, 0),_xlpm.c, MATCH(L$39, Pivot!$B$2:$EU$2, 0),IFERROR(INDEX(Pivot!$B$11:$EU$35, _xlpm.r, _xlpm.c), 0))</x:f>
        <x:v>#N/A</x:v>
      </x:c>
      <x:c r="M55" s="845" t="n">
        <x:f>_xlfn.LET(_xlpm.r, MATCH($A55, Pivot!$A$11:$A$35, 0),_xlpm.c, MATCH(M$39, Pivot!$B$2:$EU$2, 0),IFERROR(INDEX(Pivot!$B$11:$EU$35, _xlpm.r, _xlpm.c), 0))</x:f>
        <x:v>4700000</x:v>
      </x:c>
      <x:c r="N55" s="845" t="n">
        <x:f>_xlfn.LET(_xlpm.r, MATCH($A55, Pivot!$A$11:$A$35, 0),_xlpm.c, MATCH(N$39, Pivot!$B$2:$EU$2, 0),IFERROR(INDEX(Pivot!$B$11:$EU$35, _xlpm.r, _xlpm.c), 0))</x:f>
        <x:v>13572400</x:v>
      </x:c>
      <x:c r="O55" s="844" t="n">
        <x:f>_xlfn.LET(_xlpm.r, MATCH($A55, Pivot!$A$11:$A$35, 0),_xlpm.c, MATCH(O$39, Pivot!$B$2:$EU$2, 0),IFERROR(INDEX(Pivot!$B$11:$EU$35, _xlpm.r, _xlpm.c), 0))</x:f>
        <x:v>232000</x:v>
      </x:c>
      <x:c r="P55" s="844" t="n">
        <x:f>_xlfn.LET(_xlpm.r, MATCH($A55, Pivot!$A$11:$A$35, 0),_xlpm.c, MATCH(P$39, Pivot!$B$2:$EU$2, 0),IFERROR(INDEX(Pivot!$B$11:$EU$35, _xlpm.r, _xlpm.c), 0))</x:f>
        <x:v>464000</x:v>
      </x:c>
      <x:c r="Q55" s="842" t="str">
        <x:f>_xlfn.LET(_xlpm.r, MATCH($A55, Pivot!$A$11:$A$35, 0),_xlpm.c, MATCH(Q$39, Pivot!$B$2:$EU$2, 0),IFERROR(INDEX(Pivot!$B$11:$EU$35, _xlpm.r, _xlpm.c), 0))</x:f>
      </x:c>
      <x:c r="R55" s="842" t="str">
        <x:f>_xlfn.LET(_xlpm.r, MATCH($A55, Pivot!$A$11:$A$35, 0),_xlpm.c, MATCH(R$39, Pivot!$B$2:$EU$2, 0),IFERROR(INDEX(Pivot!$B$11:$EU$35, _xlpm.r, _xlpm.c), 0))</x:f>
      </x:c>
      <x:c r="S55" s="841" t="e">
        <x:f>_xlfn.LET(_xlpm.r, MATCH($A55, Pivot!$A$11:$A$35, 0),_xlpm.c, MATCH(S$39, Pivot!$B$2:$EU$2, 0),IFERROR(INDEX(Pivot!$B$11:$EU$35, _xlpm.r, _xlpm.c), 0))</x:f>
        <x:v>#N/A</x:v>
      </x:c>
      <x:c r="T55" s="841" t="e">
        <x:f>_xlfn.LET(_xlpm.r, MATCH($A55, Pivot!$A$11:$A$35, 0),_xlpm.c, MATCH(T$39, Pivot!$B$2:$EU$2, 0),IFERROR(INDEX(Pivot!$B$11:$EU$35, _xlpm.r, _xlpm.c), 0))</x:f>
        <x:v>#N/A</x:v>
      </x:c>
      <x:c r="U55" s="845" t="e">
        <x:f>_xlfn.LET(_xlpm.r, MATCH($A55, Pivot!$A$11:$A$35, 0),_xlpm.c, MATCH(U$39, Pivot!$B$2:$EU$2, 0),IFERROR(INDEX(Pivot!$B$11:$EU$35, _xlpm.r, _xlpm.c), 0))</x:f>
        <x:v>#N/A</x:v>
      </x:c>
      <x:c r="V55" s="846" t="e">
        <x:f>_xlfn.LET(_xlpm.r, MATCH($A55, Pivot!$A$11:$A$35, 0),_xlpm.c, MATCH(V$39, Pivot!$B$2:$EU$2, 0),IFERROR(INDEX(Pivot!$B$11:$EU$35, _xlpm.r, _xlpm.c), 0))</x:f>
        <x:v>#N/A</x:v>
      </x:c>
      <x:c r="W55" s="383"/>
      <x:c r="X55" s="383"/>
      <x:c r="Y55" s="594"/>
      <x:c r="Z55" s="594"/>
      <x:c r="AA55" s="594"/>
      <x:c r="AB55" s="383"/>
      <x:c r="AC55" s="383"/>
      <x:c r="AD55" s="383"/>
      <x:c r="AE55" s="383"/>
      <x:c r="AF55" s="383"/>
      <x:c r="AG55" s="383"/>
      <x:c r="AH55" s="383"/>
      <x:c r="AI55" s="383"/>
      <x:c r="AJ55" s="383"/>
      <x:c r="AK55" s="383"/>
      <x:c r="AL55" s="383"/>
      <x:c r="AM55" s="383"/>
      <x:c r="AN55" s="383"/>
      <x:c r="AO55" s="383"/>
      <x:c r="AP55" s="383"/>
      <x:c r="AQ55" s="383"/>
      <x:c r="AR55" s="383"/>
      <x:c r="AS55" s="383"/>
      <x:c r="AT55" s="383"/>
      <x:c r="AU55" s="383"/>
      <x:c r="AV55" s="383"/>
      <x:c r="AW55" s="383"/>
      <x:c r="AX55" s="383"/>
      <x:c r="AY55" s="383"/>
      <x:c r="AZ55" s="383"/>
      <x:c r="BA55" s="383"/>
      <x:c r="BB55" s="383"/>
      <x:c r="BC55" s="383"/>
      <x:c r="BD55" s="383"/>
      <x:c r="BE55" s="383"/>
      <x:c r="BF55" s="383"/>
      <x:c r="BG55" s="383"/>
      <x:c r="BH55" s="383"/>
      <x:c r="BI55" s="383"/>
      <x:c r="BJ55" s="383"/>
      <x:c r="BK55" s="383"/>
      <x:c r="BL55" s="383"/>
      <x:c r="BM55" s="383"/>
      <x:c r="BN55" s="383"/>
      <x:c r="BO55" s="383"/>
      <x:c r="BP55" s="383"/>
      <x:c r="BQ55" s="383"/>
      <x:c r="BR55" s="383"/>
      <x:c r="BS55" s="383"/>
      <x:c r="BT55" s="383"/>
      <x:c r="BU55" s="383"/>
      <x:c r="BV55" s="383"/>
      <x:c r="BW55" s="383"/>
      <x:c r="BX55" s="383"/>
      <x:c r="BY55" s="383"/>
      <x:c r="BZ55" s="383"/>
      <x:c r="CA55" s="383"/>
      <x:c r="CB55" s="383"/>
      <x:c r="CC55" s="383"/>
      <x:c r="CD55" s="383"/>
      <x:c r="CE55" s="383"/>
      <x:c r="CF55" s="383"/>
      <x:c r="CG55" s="383"/>
      <x:c r="CH55" s="383"/>
      <x:c r="CI55" s="383"/>
      <x:c r="CJ55" s="383"/>
      <x:c r="CK55" s="383"/>
      <x:c r="CL55" s="383"/>
      <x:c r="CM55" s="383"/>
    </x:row>
    <x:row r="56" ht="22" customHeight="1">
      <x:c r="A56" s="894" t="s">
        <x:v>247</x:v>
      </x:c>
      <x:c r="B56" s="909" t="s">
        <x:v>37</x:v>
      </x:c>
      <x:c r="C56" s="910" t="n">
        <x:f>_xlfn.LET(_xlpm.r, MATCH($A56, Pivot!$A$11:$A$35, 0),_xlpm.c, MATCH(C$39, Pivot!$B$2:$EU$2, 0),IFERROR(INDEX(Pivot!$B$11:$EU$35, _xlpm.r, _xlpm.c), 0))</x:f>
        <x:v>75000</x:v>
      </x:c>
      <x:c r="D56" s="910" t="n">
        <x:f>_xlfn.LET(_xlpm.r, MATCH($A56, Pivot!$A$11:$A$35, 0),_xlpm.c, MATCH(D$39, Pivot!$B$2:$EU$2, 0),IFERROR(INDEX(Pivot!$B$11:$EU$35, _xlpm.r, _xlpm.c), 0))</x:f>
        <x:v>480000</x:v>
      </x:c>
      <x:c r="E56" s="911" t="n">
        <x:f>_xlfn.LET(_xlpm.r, MATCH($A56, Pivot!$A$11:$A$35, 0),_xlpm.c, MATCH(E$39, Pivot!$B$2:$EU$2, 0),IFERROR(INDEX(Pivot!$B$11:$EU$35, _xlpm.r, _xlpm.c), 0))</x:f>
        <x:v>561000</x:v>
      </x:c>
      <x:c r="F56" s="911" t="n">
        <x:f>_xlfn.LET(_xlpm.r, MATCH($A56, Pivot!$A$11:$A$35, 0),_xlpm.c, MATCH(F$39, Pivot!$B$2:$EU$2, 0),IFERROR(INDEX(Pivot!$B$11:$EU$35, _xlpm.r, _xlpm.c), 0))</x:f>
        <x:v>1622500</x:v>
      </x:c>
      <x:c r="G56" s="911" t="n">
        <x:f>_xlfn.LET(_xlpm.r, MATCH($A56, Pivot!$A$11:$A$35, 0),_xlpm.c, MATCH(G$39, Pivot!$B$2:$EU$2, 0),IFERROR(INDEX(Pivot!$B$11:$EU$35, _xlpm.r, _xlpm.c), 0))</x:f>
        <x:v>960000</x:v>
      </x:c>
      <x:c r="H56" s="911" t="n">
        <x:f>_xlfn.LET(_xlpm.r, MATCH($A56, Pivot!$A$11:$A$35, 0),_xlpm.c, MATCH(H$39, Pivot!$B$2:$EU$2, 0),IFERROR(INDEX(Pivot!$B$11:$EU$35, _xlpm.r, _xlpm.c), 0))</x:f>
        <x:v>5024000</x:v>
      </x:c>
      <x:c r="I56" s="911" t="n">
        <x:f>_xlfn.LET(_xlpm.r, MATCH($A56, Pivot!$A$11:$A$35, 0),_xlpm.c, MATCH(I$39, Pivot!$B$2:$EU$2, 0),IFERROR(INDEX(Pivot!$B$11:$EU$35, _xlpm.r, _xlpm.c), 0))</x:f>
        <x:v>3549000</x:v>
      </x:c>
      <x:c r="J56" s="911" t="n">
        <x:f>_xlfn.LET(_xlpm.r, MATCH($A56, Pivot!$A$11:$A$35, 0),_xlpm.c, MATCH(J$39, Pivot!$B$2:$EU$2, 0),IFERROR(INDEX(Pivot!$B$11:$EU$35, _xlpm.r, _xlpm.c), 0))</x:f>
        <x:v>7644000</x:v>
      </x:c>
      <x:c r="K56" s="911" t="n">
        <x:f>_xlfn.LET(_xlpm.r, MATCH($A56, Pivot!$A$11:$A$35, 0),_xlpm.c, MATCH(K$39, Pivot!$B$2:$EU$2, 0),IFERROR(INDEX(Pivot!$B$11:$EU$35, _xlpm.r, _xlpm.c), 0))</x:f>
        <x:v>300000</x:v>
      </x:c>
      <x:c r="L56" s="911" t="e">
        <x:f>_xlfn.LET(_xlpm.r, MATCH($A56, Pivot!$A$11:$A$35, 0),_xlpm.c, MATCH(L$39, Pivot!$B$2:$EU$2, 0),IFERROR(INDEX(Pivot!$B$11:$EU$35, _xlpm.r, _xlpm.c), 0))</x:f>
        <x:v>#N/A</x:v>
      </x:c>
      <x:c r="M56" s="912" t="n">
        <x:f>_xlfn.LET(_xlpm.r, MATCH($A56, Pivot!$A$11:$A$35, 0),_xlpm.c, MATCH(M$39, Pivot!$B$2:$EU$2, 0),IFERROR(INDEX(Pivot!$B$11:$EU$35, _xlpm.r, _xlpm.c), 0))</x:f>
        <x:v>7867200</x:v>
      </x:c>
      <x:c r="N56" s="912" t="n">
        <x:f>_xlfn.LET(_xlpm.r, MATCH($A56, Pivot!$A$11:$A$35, 0),_xlpm.c, MATCH(N$39, Pivot!$B$2:$EU$2, 0),IFERROR(INDEX(Pivot!$B$11:$EU$35, _xlpm.r, _xlpm.c), 0))</x:f>
        <x:v>56632000</x:v>
      </x:c>
      <x:c r="O56" s="911" t="n">
        <x:f>_xlfn.LET(_xlpm.r, MATCH($A56, Pivot!$A$11:$A$35, 0),_xlpm.c, MATCH(O$39, Pivot!$B$2:$EU$2, 0),IFERROR(INDEX(Pivot!$B$11:$EU$35, _xlpm.r, _xlpm.c), 0))</x:f>
        <x:v>232000</x:v>
      </x:c>
      <x:c r="P56" s="911" t="n">
        <x:f>_xlfn.LET(_xlpm.r, MATCH($A56, Pivot!$A$11:$A$35, 0),_xlpm.c, MATCH(P$39, Pivot!$B$2:$EU$2, 0),IFERROR(INDEX(Pivot!$B$11:$EU$35, _xlpm.r, _xlpm.c), 0))</x:f>
        <x:v>2088000</x:v>
      </x:c>
      <x:c r="Q56" s="911" t="str">
        <x:f>_xlfn.LET(_xlpm.r, MATCH($A56, Pivot!$A$11:$A$35, 0),_xlpm.c, MATCH(Q$39, Pivot!$B$2:$EU$2, 0),IFERROR(INDEX(Pivot!$B$11:$EU$35, _xlpm.r, _xlpm.c), 0))</x:f>
      </x:c>
      <x:c r="R56" s="911" t="n">
        <x:f>_xlfn.LET(_xlpm.r, MATCH($A56, Pivot!$A$11:$A$35, 0),_xlpm.c, MATCH(R$39, Pivot!$B$2:$EU$2, 0),IFERROR(INDEX(Pivot!$B$11:$EU$35, _xlpm.r, _xlpm.c), 0))</x:f>
        <x:v>5520000</x:v>
      </x:c>
      <x:c r="S56" s="911" t="e">
        <x:f>_xlfn.LET(_xlpm.r, MATCH($A56, Pivot!$A$11:$A$35, 0),_xlpm.c, MATCH(S$39, Pivot!$B$2:$EU$2, 0),IFERROR(INDEX(Pivot!$B$11:$EU$35, _xlpm.r, _xlpm.c), 0))</x:f>
        <x:v>#N/A</x:v>
      </x:c>
      <x:c r="T56" s="911" t="e">
        <x:f>_xlfn.LET(_xlpm.r, MATCH($A56, Pivot!$A$11:$A$35, 0),_xlpm.c, MATCH(T$39, Pivot!$B$2:$EU$2, 0),IFERROR(INDEX(Pivot!$B$11:$EU$35, _xlpm.r, _xlpm.c), 0))</x:f>
        <x:v>#N/A</x:v>
      </x:c>
      <x:c r="U56" s="912" t="e">
        <x:f>_xlfn.LET(_xlpm.r, MATCH($A56, Pivot!$A$11:$A$35, 0),_xlpm.c, MATCH(U$39, Pivot!$B$2:$EU$2, 0),IFERROR(INDEX(Pivot!$B$11:$EU$35, _xlpm.r, _xlpm.c), 0))</x:f>
        <x:v>#N/A</x:v>
      </x:c>
      <x:c r="V56" s="913" t="e">
        <x:f>_xlfn.LET(_xlpm.r, MATCH($A56, Pivot!$A$11:$A$35, 0),_xlpm.c, MATCH(V$39, Pivot!$B$2:$EU$2, 0),IFERROR(INDEX(Pivot!$B$11:$EU$35, _xlpm.r, _xlpm.c), 0))</x:f>
        <x:v>#N/A</x:v>
      </x:c>
      <x:c r="W56" s="415"/>
      <x:c r="X56" s="415"/>
      <x:c r="Y56" s="631"/>
      <x:c r="Z56" s="631"/>
      <x:c r="AA56" s="631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  <x:c r="AM56" s="415"/>
      <x:c r="AN56" s="415"/>
      <x:c r="AO56" s="415"/>
      <x:c r="AP56" s="415"/>
      <x:c r="AQ56" s="415"/>
      <x:c r="AR56" s="415"/>
      <x:c r="AS56" s="415"/>
      <x:c r="AT56" s="415"/>
      <x:c r="AU56" s="415"/>
      <x:c r="AV56" s="415"/>
      <x:c r="AW56" s="415"/>
      <x:c r="AX56" s="415"/>
      <x:c r="AY56" s="415"/>
      <x:c r="AZ56" s="415"/>
      <x:c r="BA56" s="415"/>
      <x:c r="BB56" s="415"/>
      <x:c r="BC56" s="415"/>
      <x:c r="BD56" s="415"/>
      <x:c r="BE56" s="415"/>
      <x:c r="BF56" s="415"/>
      <x:c r="BG56" s="415"/>
      <x:c r="BH56" s="415"/>
      <x:c r="BI56" s="415"/>
      <x:c r="BJ56" s="415"/>
      <x:c r="BK56" s="415"/>
      <x:c r="BL56" s="415"/>
      <x:c r="BM56" s="415"/>
      <x:c r="BN56" s="415"/>
      <x:c r="BO56" s="415"/>
      <x:c r="BP56" s="415"/>
      <x:c r="BQ56" s="415"/>
      <x:c r="BR56" s="415"/>
      <x:c r="BS56" s="415"/>
      <x:c r="BT56" s="415"/>
      <x:c r="BU56" s="415"/>
      <x:c r="BV56" s="415"/>
      <x:c r="BW56" s="415"/>
      <x:c r="BX56" s="415"/>
      <x:c r="BY56" s="415"/>
      <x:c r="BZ56" s="415"/>
      <x:c r="CA56" s="415"/>
      <x:c r="CB56" s="415"/>
      <x:c r="CC56" s="415"/>
      <x:c r="CD56" s="415"/>
      <x:c r="CE56" s="415"/>
      <x:c r="CF56" s="415"/>
      <x:c r="CG56" s="415"/>
      <x:c r="CH56" s="415"/>
      <x:c r="CI56" s="415"/>
      <x:c r="CJ56" s="415"/>
      <x:c r="CK56" s="415"/>
      <x:c r="CL56" s="415"/>
      <x:c r="CM56" s="415"/>
    </x:row>
    <x:row r="57" ht="22" customHeight="1">
      <x:c r="A57" s="839" t="s">
        <x:v>172</x:v>
      </x:c>
      <x:c r="B57" s="840" t="s">
        <x:v>45</x:v>
      </x:c>
      <x:c r="C57" s="827" t="str">
        <x:f>_xlfn.LET(_xlpm.r, MATCH($A57, Pivot!$A$11:$A$35, 0),_xlpm.c, MATCH(C$39, Pivot!$B$2:$EU$2, 0),IFERROR(INDEX(Pivot!$B$11:$EU$35, _xlpm.r, _xlpm.c), 0))</x:f>
      </x:c>
      <x:c r="D57" s="827" t="str">
        <x:f>_xlfn.LET(_xlpm.r, MATCH($A57, Pivot!$A$11:$A$35, 0),_xlpm.c, MATCH(D$39, Pivot!$B$2:$EU$2, 0),IFERROR(INDEX(Pivot!$B$11:$EU$35, _xlpm.r, _xlpm.c), 0))</x:f>
      </x:c>
      <x:c r="E57" s="841" t="n">
        <x:f>_xlfn.LET(_xlpm.r, MATCH($A57, Pivot!$A$11:$A$35, 0),_xlpm.c, MATCH(E$39, Pivot!$B$2:$EU$2, 0),IFERROR(INDEX(Pivot!$B$11:$EU$35, _xlpm.r, _xlpm.c), 0))</x:f>
        <x:v>165000</x:v>
      </x:c>
      <x:c r="F57" s="841" t="n">
        <x:f>_xlfn.LET(_xlpm.r, MATCH($A57, Pivot!$A$11:$A$35, 0),_xlpm.c, MATCH(F$39, Pivot!$B$2:$EU$2, 0),IFERROR(INDEX(Pivot!$B$11:$EU$35, _xlpm.r, _xlpm.c), 0))</x:f>
        <x:v>1512500</x:v>
      </x:c>
      <x:c r="G57" s="842" t="n">
        <x:f>_xlfn.LET(_xlpm.r, MATCH($A57, Pivot!$A$11:$A$35, 0),_xlpm.c, MATCH(G$39, Pivot!$B$2:$EU$2, 0),IFERROR(INDEX(Pivot!$B$11:$EU$35, _xlpm.r, _xlpm.c), 0))</x:f>
        <x:v>320000</x:v>
      </x:c>
      <x:c r="H57" s="842" t="n">
        <x:f>_xlfn.LET(_xlpm.r, MATCH($A57, Pivot!$A$11:$A$35, 0),_xlpm.c, MATCH(H$39, Pivot!$B$2:$EU$2, 0),IFERROR(INDEX(Pivot!$B$11:$EU$35, _xlpm.r, _xlpm.c), 0))</x:f>
        <x:v>1280000</x:v>
      </x:c>
      <x:c r="I57" s="843" t="n">
        <x:f>_xlfn.LET(_xlpm.r, MATCH($A57, Pivot!$A$11:$A$35, 0),_xlpm.c, MATCH(I$39, Pivot!$B$2:$EU$2, 0),IFERROR(INDEX(Pivot!$B$11:$EU$35, _xlpm.r, _xlpm.c), 0))</x:f>
        <x:v>1274000</x:v>
      </x:c>
      <x:c r="J57" s="843" t="n">
        <x:f>_xlfn.LET(_xlpm.r, MATCH($A57, Pivot!$A$11:$A$35, 0),_xlpm.c, MATCH(J$39, Pivot!$B$2:$EU$2, 0),IFERROR(INDEX(Pivot!$B$11:$EU$35, _xlpm.r, _xlpm.c), 0))</x:f>
        <x:v>182000</x:v>
      </x:c>
      <x:c r="K57" s="844" t="n">
        <x:f>_xlfn.LET(_xlpm.r, MATCH($A57, Pivot!$A$11:$A$35, 0),_xlpm.c, MATCH(K$39, Pivot!$B$2:$EU$2, 0),IFERROR(INDEX(Pivot!$B$11:$EU$35, _xlpm.r, _xlpm.c), 0))</x:f>
        <x:v>600000</x:v>
      </x:c>
      <x:c r="L57" s="844" t="e">
        <x:f>_xlfn.LET(_xlpm.r, MATCH($A57, Pivot!$A$11:$A$35, 0),_xlpm.c, MATCH(L$39, Pivot!$B$2:$EU$2, 0),IFERROR(INDEX(Pivot!$B$11:$EU$35, _xlpm.r, _xlpm.c), 0))</x:f>
        <x:v>#N/A</x:v>
      </x:c>
      <x:c r="M57" s="845" t="n">
        <x:f>_xlfn.LET(_xlpm.r, MATCH($A57, Pivot!$A$11:$A$35, 0),_xlpm.c, MATCH(M$39, Pivot!$B$2:$EU$2, 0),IFERROR(INDEX(Pivot!$B$11:$EU$35, _xlpm.r, _xlpm.c), 0))</x:f>
        <x:v>3854000</x:v>
      </x:c>
      <x:c r="N57" s="845" t="n">
        <x:f>_xlfn.LET(_xlpm.r, MATCH($A57, Pivot!$A$11:$A$35, 0),_xlpm.c, MATCH(N$39, Pivot!$B$2:$EU$2, 0),IFERROR(INDEX(Pivot!$B$11:$EU$35, _xlpm.r, _xlpm.c), 0))</x:f>
        <x:v>5797200</x:v>
      </x:c>
      <x:c r="O57" s="844" t="str">
        <x:f>_xlfn.LET(_xlpm.r, MATCH($A57, Pivot!$A$11:$A$35, 0),_xlpm.c, MATCH(O$39, Pivot!$B$2:$EU$2, 0),IFERROR(INDEX(Pivot!$B$11:$EU$35, _xlpm.r, _xlpm.c), 0))</x:f>
      </x:c>
      <x:c r="P57" s="844" t="n">
        <x:f>_xlfn.LET(_xlpm.r, MATCH($A57, Pivot!$A$11:$A$35, 0),_xlpm.c, MATCH(P$39, Pivot!$B$2:$EU$2, 0),IFERROR(INDEX(Pivot!$B$11:$EU$35, _xlpm.r, _xlpm.c), 0))</x:f>
        <x:v>232000</x:v>
      </x:c>
      <x:c r="Q57" s="842" t="n">
        <x:f>_xlfn.LET(_xlpm.r, MATCH($A57, Pivot!$A$11:$A$35, 0),_xlpm.c, MATCH(Q$39, Pivot!$B$2:$EU$2, 0),IFERROR(INDEX(Pivot!$B$11:$EU$35, _xlpm.r, _xlpm.c), 0))</x:f>
        <x:v>230000</x:v>
      </x:c>
      <x:c r="R57" s="842" t="n">
        <x:f>_xlfn.LET(_xlpm.r, MATCH($A57, Pivot!$A$11:$A$35, 0),_xlpm.c, MATCH(R$39, Pivot!$B$2:$EU$2, 0),IFERROR(INDEX(Pivot!$B$11:$EU$35, _xlpm.r, _xlpm.c), 0))</x:f>
        <x:v>230000</x:v>
      </x:c>
      <x:c r="S57" s="841" t="e">
        <x:f>_xlfn.LET(_xlpm.r, MATCH($A57, Pivot!$A$11:$A$35, 0),_xlpm.c, MATCH(S$39, Pivot!$B$2:$EU$2, 0),IFERROR(INDEX(Pivot!$B$11:$EU$35, _xlpm.r, _xlpm.c), 0))</x:f>
        <x:v>#N/A</x:v>
      </x:c>
      <x:c r="T57" s="841" t="e">
        <x:f>_xlfn.LET(_xlpm.r, MATCH($A57, Pivot!$A$11:$A$35, 0),_xlpm.c, MATCH(T$39, Pivot!$B$2:$EU$2, 0),IFERROR(INDEX(Pivot!$B$11:$EU$35, _xlpm.r, _xlpm.c), 0))</x:f>
        <x:v>#N/A</x:v>
      </x:c>
      <x:c r="U57" s="845" t="e">
        <x:f>_xlfn.LET(_xlpm.r, MATCH($A57, Pivot!$A$11:$A$35, 0),_xlpm.c, MATCH(U$39, Pivot!$B$2:$EU$2, 0),IFERROR(INDEX(Pivot!$B$11:$EU$35, _xlpm.r, _xlpm.c), 0))</x:f>
        <x:v>#N/A</x:v>
      </x:c>
      <x:c r="V57" s="846" t="e">
        <x:f>_xlfn.LET(_xlpm.r, MATCH($A57, Pivot!$A$11:$A$35, 0),_xlpm.c, MATCH(V$39, Pivot!$B$2:$EU$2, 0),IFERROR(INDEX(Pivot!$B$11:$EU$35, _xlpm.r, _xlpm.c), 0))</x:f>
        <x:v>#N/A</x:v>
      </x:c>
      <x:c r="W57" s="383"/>
      <x:c r="X57" s="383"/>
      <x:c r="Y57" s="594"/>
      <x:c r="Z57" s="383"/>
      <x:c r="AA57" s="383"/>
      <x:c r="AB57" s="383"/>
      <x:c r="AC57" s="383"/>
      <x:c r="AD57" s="383"/>
      <x:c r="AE57" s="383"/>
      <x:c r="AF57" s="383"/>
      <x:c r="AG57" s="383"/>
      <x:c r="AH57" s="383"/>
      <x:c r="AI57" s="383"/>
      <x:c r="AJ57" s="383"/>
      <x:c r="AK57" s="383"/>
      <x:c r="AL57" s="383"/>
      <x:c r="AM57" s="383"/>
      <x:c r="AN57" s="383"/>
      <x:c r="AO57" s="383"/>
      <x:c r="AP57" s="383"/>
      <x:c r="AQ57" s="383"/>
      <x:c r="AR57" s="383"/>
      <x:c r="AS57" s="383"/>
      <x:c r="AT57" s="383"/>
      <x:c r="AU57" s="383"/>
      <x:c r="AV57" s="383"/>
      <x:c r="AW57" s="383"/>
      <x:c r="AX57" s="383"/>
      <x:c r="AY57" s="383"/>
      <x:c r="AZ57" s="383"/>
      <x:c r="BA57" s="383"/>
      <x:c r="BB57" s="383"/>
      <x:c r="BC57" s="383"/>
      <x:c r="BD57" s="383"/>
      <x:c r="BE57" s="383"/>
      <x:c r="BF57" s="383"/>
      <x:c r="BG57" s="383"/>
      <x:c r="BH57" s="383"/>
      <x:c r="BI57" s="383"/>
      <x:c r="BJ57" s="383"/>
      <x:c r="BK57" s="383"/>
      <x:c r="BL57" s="383"/>
      <x:c r="BM57" s="383"/>
      <x:c r="BN57" s="383"/>
      <x:c r="BO57" s="383"/>
      <x:c r="BP57" s="383"/>
      <x:c r="BQ57" s="383"/>
      <x:c r="BR57" s="383"/>
      <x:c r="BS57" s="383"/>
      <x:c r="BT57" s="383"/>
      <x:c r="BU57" s="383"/>
      <x:c r="BV57" s="383"/>
      <x:c r="BW57" s="383"/>
      <x:c r="BX57" s="383"/>
      <x:c r="BY57" s="383"/>
      <x:c r="BZ57" s="383"/>
      <x:c r="CA57" s="383"/>
      <x:c r="CB57" s="383"/>
      <x:c r="CC57" s="383"/>
      <x:c r="CD57" s="383"/>
      <x:c r="CE57" s="383"/>
      <x:c r="CF57" s="383"/>
      <x:c r="CG57" s="383"/>
      <x:c r="CH57" s="383"/>
      <x:c r="CI57" s="383"/>
      <x:c r="CJ57" s="383"/>
      <x:c r="CK57" s="383"/>
      <x:c r="CL57" s="383"/>
      <x:c r="CM57" s="383"/>
    </x:row>
    <x:row r="58" ht="22" customHeight="1">
      <x:c r="A58" s="894" t="s">
        <x:v>173</x:v>
      </x:c>
      <x:c r="B58" s="909" t="s">
        <x:v>47</x:v>
      </x:c>
      <x:c r="C58" s="910" t="str">
        <x:f>_xlfn.LET(_xlpm.r, MATCH($A58, Pivot!$A$11:$A$35, 0),_xlpm.c, MATCH(C$39, Pivot!$B$2:$EU$2, 0),IFERROR(INDEX(Pivot!$B$11:$EU$35, _xlpm.r, _xlpm.c), 0))</x:f>
      </x:c>
      <x:c r="D58" s="910" t="n">
        <x:f>_xlfn.LET(_xlpm.r, MATCH($A58, Pivot!$A$11:$A$35, 0),_xlpm.c, MATCH(D$39, Pivot!$B$2:$EU$2, 0),IFERROR(INDEX(Pivot!$B$11:$EU$35, _xlpm.r, _xlpm.c), 0))</x:f>
        <x:v>450000</x:v>
      </x:c>
      <x:c r="E58" s="911" t="n">
        <x:f>_xlfn.LET(_xlpm.r, MATCH($A58, Pivot!$A$11:$A$35, 0),_xlpm.c, MATCH(E$39, Pivot!$B$2:$EU$2, 0),IFERROR(INDEX(Pivot!$B$11:$EU$35, _xlpm.r, _xlpm.c), 0))</x:f>
        <x:v>962500</x:v>
      </x:c>
      <x:c r="F58" s="911" t="n">
        <x:f>_xlfn.LET(_xlpm.r, MATCH($A58, Pivot!$A$11:$A$35, 0),_xlpm.c, MATCH(F$39, Pivot!$B$2:$EU$2, 0),IFERROR(INDEX(Pivot!$B$11:$EU$35, _xlpm.r, _xlpm.c), 0))</x:f>
        <x:v>1699500</x:v>
      </x:c>
      <x:c r="G58" s="911" t="str">
        <x:f>_xlfn.LET(_xlpm.r, MATCH($A58, Pivot!$A$11:$A$35, 0),_xlpm.c, MATCH(G$39, Pivot!$B$2:$EU$2, 0),IFERROR(INDEX(Pivot!$B$11:$EU$35, _xlpm.r, _xlpm.c), 0))</x:f>
      </x:c>
      <x:c r="H58" s="911" t="n">
        <x:f>_xlfn.LET(_xlpm.r, MATCH($A58, Pivot!$A$11:$A$35, 0),_xlpm.c, MATCH(H$39, Pivot!$B$2:$EU$2, 0),IFERROR(INDEX(Pivot!$B$11:$EU$35, _xlpm.r, _xlpm.c), 0))</x:f>
        <x:v>2560000</x:v>
      </x:c>
      <x:c r="I58" s="911" t="n">
        <x:f>_xlfn.LET(_xlpm.r, MATCH($A58, Pivot!$A$11:$A$35, 0),_xlpm.c, MATCH(I$39, Pivot!$B$2:$EU$2, 0),IFERROR(INDEX(Pivot!$B$11:$EU$35, _xlpm.r, _xlpm.c), 0))</x:f>
        <x:v>273000</x:v>
      </x:c>
      <x:c r="J58" s="911" t="n">
        <x:f>_xlfn.LET(_xlpm.r, MATCH($A58, Pivot!$A$11:$A$35, 0),_xlpm.c, MATCH(J$39, Pivot!$B$2:$EU$2, 0),IFERROR(INDEX(Pivot!$B$11:$EU$35, _xlpm.r, _xlpm.c), 0))</x:f>
        <x:v>4368000</x:v>
      </x:c>
      <x:c r="K58" s="911" t="str">
        <x:f>_xlfn.LET(_xlpm.r, MATCH($A58, Pivot!$A$11:$A$35, 0),_xlpm.c, MATCH(K$39, Pivot!$B$2:$EU$2, 0),IFERROR(INDEX(Pivot!$B$11:$EU$35, _xlpm.r, _xlpm.c), 0))</x:f>
      </x:c>
      <x:c r="L58" s="911" t="e">
        <x:f>_xlfn.LET(_xlpm.r, MATCH($A58, Pivot!$A$11:$A$35, 0),_xlpm.c, MATCH(L$39, Pivot!$B$2:$EU$2, 0),IFERROR(INDEX(Pivot!$B$11:$EU$35, _xlpm.r, _xlpm.c), 0))</x:f>
        <x:v>#N/A</x:v>
      </x:c>
      <x:c r="M58" s="912" t="n">
        <x:f>_xlfn.LET(_xlpm.r, MATCH($A58, Pivot!$A$11:$A$35, 0),_xlpm.c, MATCH(M$39, Pivot!$B$2:$EU$2, 0),IFERROR(INDEX(Pivot!$B$11:$EU$35, _xlpm.r, _xlpm.c), 0))</x:f>
        <x:v>28376800</x:v>
      </x:c>
      <x:c r="N58" s="912" t="n">
        <x:f>_xlfn.LET(_xlpm.r, MATCH($A58, Pivot!$A$11:$A$35, 0),_xlpm.c, MATCH(N$39, Pivot!$B$2:$EU$2, 0),IFERROR(INDEX(Pivot!$B$11:$EU$35, _xlpm.r, _xlpm.c), 0))</x:f>
        <x:v>64976600</x:v>
      </x:c>
      <x:c r="O58" s="911" t="n">
        <x:f>_xlfn.LET(_xlpm.r, MATCH($A58, Pivot!$A$11:$A$35, 0),_xlpm.c, MATCH(O$39, Pivot!$B$2:$EU$2, 0),IFERROR(INDEX(Pivot!$B$11:$EU$35, _xlpm.r, _xlpm.c), 0))</x:f>
        <x:v>232000</x:v>
      </x:c>
      <x:c r="P58" s="911" t="n">
        <x:f>_xlfn.LET(_xlpm.r, MATCH($A58, Pivot!$A$11:$A$35, 0),_xlpm.c, MATCH(P$39, Pivot!$B$2:$EU$2, 0),IFERROR(INDEX(Pivot!$B$11:$EU$35, _xlpm.r, _xlpm.c), 0))</x:f>
        <x:v>2088000</x:v>
      </x:c>
      <x:c r="Q58" s="911" t="str">
        <x:f>_xlfn.LET(_xlpm.r, MATCH($A58, Pivot!$A$11:$A$35, 0),_xlpm.c, MATCH(Q$39, Pivot!$B$2:$EU$2, 0),IFERROR(INDEX(Pivot!$B$11:$EU$35, _xlpm.r, _xlpm.c), 0))</x:f>
      </x:c>
      <x:c r="R58" s="911" t="n">
        <x:f>_xlfn.LET(_xlpm.r, MATCH($A58, Pivot!$A$11:$A$35, 0),_xlpm.c, MATCH(R$39, Pivot!$B$2:$EU$2, 0),IFERROR(INDEX(Pivot!$B$11:$EU$35, _xlpm.r, _xlpm.c), 0))</x:f>
        <x:v>3220000</x:v>
      </x:c>
      <x:c r="S58" s="911" t="e">
        <x:f>_xlfn.LET(_xlpm.r, MATCH($A58, Pivot!$A$11:$A$35, 0),_xlpm.c, MATCH(S$39, Pivot!$B$2:$EU$2, 0),IFERROR(INDEX(Pivot!$B$11:$EU$35, _xlpm.r, _xlpm.c), 0))</x:f>
        <x:v>#N/A</x:v>
      </x:c>
      <x:c r="T58" s="911" t="e">
        <x:f>_xlfn.LET(_xlpm.r, MATCH($A58, Pivot!$A$11:$A$35, 0),_xlpm.c, MATCH(T$39, Pivot!$B$2:$EU$2, 0),IFERROR(INDEX(Pivot!$B$11:$EU$35, _xlpm.r, _xlpm.c), 0))</x:f>
        <x:v>#N/A</x:v>
      </x:c>
      <x:c r="U58" s="912" t="e">
        <x:f>_xlfn.LET(_xlpm.r, MATCH($A58, Pivot!$A$11:$A$35, 0),_xlpm.c, MATCH(U$39, Pivot!$B$2:$EU$2, 0),IFERROR(INDEX(Pivot!$B$11:$EU$35, _xlpm.r, _xlpm.c), 0))</x:f>
        <x:v>#N/A</x:v>
      </x:c>
      <x:c r="V58" s="913" t="e">
        <x:f>_xlfn.LET(_xlpm.r, MATCH($A58, Pivot!$A$11:$A$35, 0),_xlpm.c, MATCH(V$39, Pivot!$B$2:$EU$2, 0),IFERROR(INDEX(Pivot!$B$11:$EU$35, _xlpm.r, _xlpm.c), 0))</x:f>
        <x:v>#N/A</x:v>
      </x:c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  <x:c r="AM58" s="415"/>
      <x:c r="AN58" s="415"/>
      <x:c r="AO58" s="415"/>
      <x:c r="AP58" s="415"/>
      <x:c r="AQ58" s="415"/>
      <x:c r="AR58" s="415"/>
      <x:c r="AS58" s="415"/>
      <x:c r="AT58" s="415"/>
      <x:c r="AU58" s="415"/>
      <x:c r="AV58" s="415"/>
      <x:c r="AW58" s="415"/>
      <x:c r="AX58" s="415"/>
      <x:c r="AY58" s="415"/>
      <x:c r="AZ58" s="415"/>
      <x:c r="BA58" s="415"/>
      <x:c r="BB58" s="415"/>
      <x:c r="BC58" s="415"/>
      <x:c r="BD58" s="415"/>
      <x:c r="BE58" s="415"/>
      <x:c r="BF58" s="415"/>
      <x:c r="BG58" s="415"/>
      <x:c r="BH58" s="415"/>
      <x:c r="BI58" s="415"/>
      <x:c r="BJ58" s="415"/>
      <x:c r="BK58" s="415"/>
      <x:c r="BL58" s="415"/>
      <x:c r="BM58" s="415"/>
      <x:c r="BN58" s="415"/>
      <x:c r="BO58" s="415"/>
      <x:c r="BP58" s="415"/>
      <x:c r="BQ58" s="415"/>
      <x:c r="BR58" s="415"/>
      <x:c r="BS58" s="415"/>
      <x:c r="BT58" s="415"/>
      <x:c r="BU58" s="415"/>
      <x:c r="BV58" s="415"/>
      <x:c r="BW58" s="415"/>
      <x:c r="BX58" s="415"/>
      <x:c r="BY58" s="415"/>
      <x:c r="BZ58" s="415"/>
      <x:c r="CA58" s="415"/>
      <x:c r="CB58" s="415"/>
      <x:c r="CC58" s="415"/>
      <x:c r="CD58" s="415"/>
      <x:c r="CE58" s="415"/>
      <x:c r="CF58" s="415"/>
      <x:c r="CG58" s="415"/>
      <x:c r="CH58" s="415"/>
      <x:c r="CI58" s="415"/>
      <x:c r="CJ58" s="415"/>
      <x:c r="CK58" s="415"/>
      <x:c r="CL58" s="415"/>
      <x:c r="CM58" s="415"/>
    </x:row>
    <x:row r="59" ht="22" customHeight="1">
      <x:c r="A59" s="839" t="s">
        <x:v>159</x:v>
      </x:c>
      <x:c r="B59" s="840" t="s">
        <x:v>21</x:v>
      </x:c>
      <x:c r="C59" s="827" t="str">
        <x:f>_xlfn.LET(_xlpm.r, MATCH($A59, Pivot!$A$11:$A$35, 0),_xlpm.c, MATCH(C$39, Pivot!$B$2:$EU$2, 0),IFERROR(INDEX(Pivot!$B$11:$EU$35, _xlpm.r, _xlpm.c), 0))</x:f>
      </x:c>
      <x:c r="D59" s="827" t="n">
        <x:f>_xlfn.LET(_xlpm.r, MATCH($A59, Pivot!$A$11:$A$35, 0),_xlpm.c, MATCH(D$39, Pivot!$B$2:$EU$2, 0),IFERROR(INDEX(Pivot!$B$11:$EU$35, _xlpm.r, _xlpm.c), 0))</x:f>
        <x:v>225000</x:v>
      </x:c>
      <x:c r="E59" s="841" t="n">
        <x:f>_xlfn.LET(_xlpm.r, MATCH($A59, Pivot!$A$11:$A$35, 0),_xlpm.c, MATCH(E$39, Pivot!$B$2:$EU$2, 0),IFERROR(INDEX(Pivot!$B$11:$EU$35, _xlpm.r, _xlpm.c), 0))</x:f>
        <x:v>275000</x:v>
      </x:c>
      <x:c r="F59" s="841" t="n">
        <x:f>_xlfn.LET(_xlpm.r, MATCH($A59, Pivot!$A$11:$A$35, 0),_xlpm.c, MATCH(F$39, Pivot!$B$2:$EU$2, 0),IFERROR(INDEX(Pivot!$B$11:$EU$35, _xlpm.r, _xlpm.c), 0))</x:f>
        <x:v>1589500</x:v>
      </x:c>
      <x:c r="G59" s="842" t="str">
        <x:f>_xlfn.LET(_xlpm.r, MATCH($A59, Pivot!$A$11:$A$35, 0),_xlpm.c, MATCH(G$39, Pivot!$B$2:$EU$2, 0),IFERROR(INDEX(Pivot!$B$11:$EU$35, _xlpm.r, _xlpm.c), 0))</x:f>
      </x:c>
      <x:c r="H59" s="842" t="n">
        <x:f>_xlfn.LET(_xlpm.r, MATCH($A59, Pivot!$A$11:$A$35, 0),_xlpm.c, MATCH(H$39, Pivot!$B$2:$EU$2, 0),IFERROR(INDEX(Pivot!$B$11:$EU$35, _xlpm.r, _xlpm.c), 0))</x:f>
        <x:v>768000</x:v>
      </x:c>
      <x:c r="I59" s="843" t="str">
        <x:f>_xlfn.LET(_xlpm.r, MATCH($A59, Pivot!$A$11:$A$35, 0),_xlpm.c, MATCH(I$39, Pivot!$B$2:$EU$2, 0),IFERROR(INDEX(Pivot!$B$11:$EU$35, _xlpm.r, _xlpm.c), 0))</x:f>
      </x:c>
      <x:c r="J59" s="843" t="n">
        <x:f>_xlfn.LET(_xlpm.r, MATCH($A59, Pivot!$A$11:$A$35, 0),_xlpm.c, MATCH(J$39, Pivot!$B$2:$EU$2, 0),IFERROR(INDEX(Pivot!$B$11:$EU$35, _xlpm.r, _xlpm.c), 0))</x:f>
        <x:v>2912000</x:v>
      </x:c>
      <x:c r="K59" s="844" t="str">
        <x:f>_xlfn.LET(_xlpm.r, MATCH($A59, Pivot!$A$11:$A$35, 0),_xlpm.c, MATCH(K$39, Pivot!$B$2:$EU$2, 0),IFERROR(INDEX(Pivot!$B$11:$EU$35, _xlpm.r, _xlpm.c), 0))</x:f>
      </x:c>
      <x:c r="L59" s="844" t="e">
        <x:f>_xlfn.LET(_xlpm.r, MATCH($A59, Pivot!$A$11:$A$35, 0),_xlpm.c, MATCH(L$39, Pivot!$B$2:$EU$2, 0),IFERROR(INDEX(Pivot!$B$11:$EU$35, _xlpm.r, _xlpm.c), 0))</x:f>
        <x:v>#N/A</x:v>
      </x:c>
      <x:c r="M59" s="845" t="n">
        <x:f>_xlfn.LET(_xlpm.r, MATCH($A59, Pivot!$A$11:$A$35, 0),_xlpm.c, MATCH(M$39, Pivot!$B$2:$EU$2, 0),IFERROR(INDEX(Pivot!$B$11:$EU$35, _xlpm.r, _xlpm.c), 0))</x:f>
        <x:v>23024400</x:v>
      </x:c>
      <x:c r="N59" s="845" t="n">
        <x:f>_xlfn.LET(_xlpm.r, MATCH($A59, Pivot!$A$11:$A$35, 0),_xlpm.c, MATCH(N$39, Pivot!$B$2:$EU$2, 0),IFERROR(INDEX(Pivot!$B$11:$EU$35, _xlpm.r, _xlpm.c), 0))</x:f>
        <x:v>32718800</x:v>
      </x:c>
      <x:c r="O59" s="844" t="str">
        <x:f>_xlfn.LET(_xlpm.r, MATCH($A59, Pivot!$A$11:$A$35, 0),_xlpm.c, MATCH(O$39, Pivot!$B$2:$EU$2, 0),IFERROR(INDEX(Pivot!$B$11:$EU$35, _xlpm.r, _xlpm.c), 0))</x:f>
      </x:c>
      <x:c r="P59" s="844" t="str">
        <x:f>_xlfn.LET(_xlpm.r, MATCH($A59, Pivot!$A$11:$A$35, 0),_xlpm.c, MATCH(P$39, Pivot!$B$2:$EU$2, 0),IFERROR(INDEX(Pivot!$B$11:$EU$35, _xlpm.r, _xlpm.c), 0))</x:f>
      </x:c>
      <x:c r="Q59" s="842" t="str">
        <x:f>_xlfn.LET(_xlpm.r, MATCH($A59, Pivot!$A$11:$A$35, 0),_xlpm.c, MATCH(Q$39, Pivot!$B$2:$EU$2, 0),IFERROR(INDEX(Pivot!$B$11:$EU$35, _xlpm.r, _xlpm.c), 0))</x:f>
      </x:c>
      <x:c r="R59" s="842" t="str">
        <x:f>_xlfn.LET(_xlpm.r, MATCH($A59, Pivot!$A$11:$A$35, 0),_xlpm.c, MATCH(R$39, Pivot!$B$2:$EU$2, 0),IFERROR(INDEX(Pivot!$B$11:$EU$35, _xlpm.r, _xlpm.c), 0))</x:f>
      </x:c>
      <x:c r="S59" s="841" t="e">
        <x:f>_xlfn.LET(_xlpm.r, MATCH($A59, Pivot!$A$11:$A$35, 0),_xlpm.c, MATCH(S$39, Pivot!$B$2:$EU$2, 0),IFERROR(INDEX(Pivot!$B$11:$EU$35, _xlpm.r, _xlpm.c), 0))</x:f>
        <x:v>#N/A</x:v>
      </x:c>
      <x:c r="T59" s="841" t="e">
        <x:f>_xlfn.LET(_xlpm.r, MATCH($A59, Pivot!$A$11:$A$35, 0),_xlpm.c, MATCH(T$39, Pivot!$B$2:$EU$2, 0),IFERROR(INDEX(Pivot!$B$11:$EU$35, _xlpm.r, _xlpm.c), 0))</x:f>
        <x:v>#N/A</x:v>
      </x:c>
      <x:c r="U59" s="845" t="e">
        <x:f>_xlfn.LET(_xlpm.r, MATCH($A59, Pivot!$A$11:$A$35, 0),_xlpm.c, MATCH(U$39, Pivot!$B$2:$EU$2, 0),IFERROR(INDEX(Pivot!$B$11:$EU$35, _xlpm.r, _xlpm.c), 0))</x:f>
        <x:v>#N/A</x:v>
      </x:c>
      <x:c r="V59" s="846" t="e">
        <x:f>_xlfn.LET(_xlpm.r, MATCH($A59, Pivot!$A$11:$A$35, 0),_xlpm.c, MATCH(V$39, Pivot!$B$2:$EU$2, 0),IFERROR(INDEX(Pivot!$B$11:$EU$35, _xlpm.r, _xlpm.c), 0))</x:f>
        <x:v>#N/A</x:v>
      </x:c>
      <x:c r="W59" s="383"/>
      <x:c r="X59" s="383"/>
      <x:c r="Y59" s="383"/>
      <x:c r="Z59" s="383"/>
      <x:c r="AA59" s="383"/>
      <x:c r="AB59" s="383"/>
      <x:c r="AC59" s="383"/>
      <x:c r="AD59" s="383"/>
      <x:c r="AE59" s="383"/>
      <x:c r="AF59" s="383"/>
      <x:c r="AG59" s="383"/>
      <x:c r="AH59" s="383"/>
      <x:c r="AI59" s="383"/>
      <x:c r="AJ59" s="383"/>
      <x:c r="AK59" s="383"/>
      <x:c r="AL59" s="383"/>
      <x:c r="AM59" s="383"/>
      <x:c r="AN59" s="383"/>
      <x:c r="AO59" s="383"/>
      <x:c r="AP59" s="383"/>
      <x:c r="AQ59" s="383"/>
      <x:c r="AR59" s="383"/>
      <x:c r="AS59" s="383"/>
      <x:c r="AT59" s="383"/>
      <x:c r="AU59" s="383"/>
      <x:c r="AV59" s="383"/>
      <x:c r="AW59" s="383"/>
      <x:c r="AX59" s="383"/>
      <x:c r="AY59" s="383"/>
      <x:c r="AZ59" s="383"/>
      <x:c r="BA59" s="383"/>
      <x:c r="BB59" s="383"/>
      <x:c r="BC59" s="383"/>
      <x:c r="BD59" s="383"/>
      <x:c r="BE59" s="383"/>
      <x:c r="BF59" s="383"/>
      <x:c r="BG59" s="383"/>
      <x:c r="BH59" s="383"/>
      <x:c r="BI59" s="383"/>
      <x:c r="BJ59" s="383"/>
      <x:c r="BK59" s="383"/>
      <x:c r="BL59" s="383"/>
      <x:c r="BM59" s="383"/>
      <x:c r="BN59" s="383"/>
      <x:c r="BO59" s="383"/>
      <x:c r="BP59" s="383"/>
      <x:c r="BQ59" s="383"/>
      <x:c r="BR59" s="383"/>
      <x:c r="BS59" s="383"/>
      <x:c r="BT59" s="383"/>
      <x:c r="BU59" s="383"/>
      <x:c r="BV59" s="383"/>
      <x:c r="BW59" s="383"/>
      <x:c r="BX59" s="383"/>
      <x:c r="BY59" s="383"/>
      <x:c r="BZ59" s="383"/>
      <x:c r="CA59" s="383"/>
      <x:c r="CB59" s="383"/>
      <x:c r="CC59" s="383"/>
      <x:c r="CD59" s="383"/>
      <x:c r="CE59" s="383"/>
      <x:c r="CF59" s="383"/>
      <x:c r="CG59" s="383"/>
      <x:c r="CH59" s="383"/>
      <x:c r="CI59" s="383"/>
      <x:c r="CJ59" s="383"/>
      <x:c r="CK59" s="383"/>
      <x:c r="CL59" s="383"/>
      <x:c r="CM59" s="383"/>
    </x:row>
    <x:row r="60" ht="22" customHeight="1">
      <x:c r="A60" s="894" t="s">
        <x:v>174</x:v>
      </x:c>
      <x:c r="B60" s="909" t="s">
        <x:v>49</x:v>
      </x:c>
      <x:c r="C60" s="910" t="n">
        <x:f>_xlfn.LET(_xlpm.r, MATCH($A60, Pivot!$A$11:$A$35, 0),_xlpm.c, MATCH(C$39, Pivot!$B$2:$EU$2, 0),IFERROR(INDEX(Pivot!$B$11:$EU$35, _xlpm.r, _xlpm.c), 0))</x:f>
        <x:v>450000</x:v>
      </x:c>
      <x:c r="D60" s="910" t="n">
        <x:f>_xlfn.LET(_xlpm.r, MATCH($A60, Pivot!$A$11:$A$35, 0),_xlpm.c, MATCH(D$39, Pivot!$B$2:$EU$2, 0),IFERROR(INDEX(Pivot!$B$11:$EU$35, _xlpm.r, _xlpm.c), 0))</x:f>
        <x:v>465000</x:v>
      </x:c>
      <x:c r="E60" s="911" t="n">
        <x:f>_xlfn.LET(_xlpm.r, MATCH($A60, Pivot!$A$11:$A$35, 0),_xlpm.c, MATCH(E$39, Pivot!$B$2:$EU$2, 0),IFERROR(INDEX(Pivot!$B$11:$EU$35, _xlpm.r, _xlpm.c), 0))</x:f>
        <x:v>1967900</x:v>
      </x:c>
      <x:c r="F60" s="911" t="n">
        <x:f>_xlfn.LET(_xlpm.r, MATCH($A60, Pivot!$A$11:$A$35, 0),_xlpm.c, MATCH(F$39, Pivot!$B$2:$EU$2, 0),IFERROR(INDEX(Pivot!$B$11:$EU$35, _xlpm.r, _xlpm.c), 0))</x:f>
        <x:v>7205000</x:v>
      </x:c>
      <x:c r="G60" s="911" t="n">
        <x:f>_xlfn.LET(_xlpm.r, MATCH($A60, Pivot!$A$11:$A$35, 0),_xlpm.c, MATCH(G$39, Pivot!$B$2:$EU$2, 0),IFERROR(INDEX(Pivot!$B$11:$EU$35, _xlpm.r, _xlpm.c), 0))</x:f>
        <x:v>960000</x:v>
      </x:c>
      <x:c r="H60" s="911" t="n">
        <x:f>_xlfn.LET(_xlpm.r, MATCH($A60, Pivot!$A$11:$A$35, 0),_xlpm.c, MATCH(H$39, Pivot!$B$2:$EU$2, 0),IFERROR(INDEX(Pivot!$B$11:$EU$35, _xlpm.r, _xlpm.c), 0))</x:f>
        <x:v>2656000</x:v>
      </x:c>
      <x:c r="I60" s="911" t="n">
        <x:f>_xlfn.LET(_xlpm.r, MATCH($A60, Pivot!$A$11:$A$35, 0),_xlpm.c, MATCH(I$39, Pivot!$B$2:$EU$2, 0),IFERROR(INDEX(Pivot!$B$11:$EU$35, _xlpm.r, _xlpm.c), 0))</x:f>
        <x:v>4277000</x:v>
      </x:c>
      <x:c r="J60" s="911" t="n">
        <x:f>_xlfn.LET(_xlpm.r, MATCH($A60, Pivot!$A$11:$A$35, 0),_xlpm.c, MATCH(J$39, Pivot!$B$2:$EU$2, 0),IFERROR(INDEX(Pivot!$B$11:$EU$35, _xlpm.r, _xlpm.c), 0))</x:f>
        <x:v>5642000</x:v>
      </x:c>
      <x:c r="K60" s="911" t="n">
        <x:f>_xlfn.LET(_xlpm.r, MATCH($A60, Pivot!$A$11:$A$35, 0),_xlpm.c, MATCH(K$39, Pivot!$B$2:$EU$2, 0),IFERROR(INDEX(Pivot!$B$11:$EU$35, _xlpm.r, _xlpm.c), 0))</x:f>
        <x:v>750000</x:v>
      </x:c>
      <x:c r="L60" s="911" t="e">
        <x:f>_xlfn.LET(_xlpm.r, MATCH($A60, Pivot!$A$11:$A$35, 0),_xlpm.c, MATCH(L$39, Pivot!$B$2:$EU$2, 0),IFERROR(INDEX(Pivot!$B$11:$EU$35, _xlpm.r, _xlpm.c), 0))</x:f>
        <x:v>#N/A</x:v>
      </x:c>
      <x:c r="M60" s="912" t="n">
        <x:f>_xlfn.LET(_xlpm.r, MATCH($A60, Pivot!$A$11:$A$35, 0),_xlpm.c, MATCH(M$39, Pivot!$B$2:$EU$2, 0),IFERROR(INDEX(Pivot!$B$11:$EU$35, _xlpm.r, _xlpm.c), 0))</x:f>
        <x:v>28534400</x:v>
      </x:c>
      <x:c r="N60" s="912" t="n">
        <x:f>_xlfn.LET(_xlpm.r, MATCH($A60, Pivot!$A$11:$A$35, 0),_xlpm.c, MATCH(N$39, Pivot!$B$2:$EU$2, 0),IFERROR(INDEX(Pivot!$B$11:$EU$35, _xlpm.r, _xlpm.c), 0))</x:f>
        <x:v>80705600</x:v>
      </x:c>
      <x:c r="O60" s="911" t="n">
        <x:f>_xlfn.LET(_xlpm.r, MATCH($A60, Pivot!$A$11:$A$35, 0),_xlpm.c, MATCH(O$39, Pivot!$B$2:$EU$2, 0),IFERROR(INDEX(Pivot!$B$11:$EU$35, _xlpm.r, _xlpm.c), 0))</x:f>
        <x:v>3016000</x:v>
      </x:c>
      <x:c r="P60" s="911" t="n">
        <x:f>_xlfn.LET(_xlpm.r, MATCH($A60, Pivot!$A$11:$A$35, 0),_xlpm.c, MATCH(P$39, Pivot!$B$2:$EU$2, 0),IFERROR(INDEX(Pivot!$B$11:$EU$35, _xlpm.r, _xlpm.c), 0))</x:f>
        <x:v>12992000</x:v>
      </x:c>
      <x:c r="Q60" s="911" t="n">
        <x:f>_xlfn.LET(_xlpm.r, MATCH($A60, Pivot!$A$11:$A$35, 0),_xlpm.c, MATCH(Q$39, Pivot!$B$2:$EU$2, 0),IFERROR(INDEX(Pivot!$B$11:$EU$35, _xlpm.r, _xlpm.c), 0))</x:f>
        <x:v>1150000</x:v>
      </x:c>
      <x:c r="R60" s="911" t="n">
        <x:f>_xlfn.LET(_xlpm.r, MATCH($A60, Pivot!$A$11:$A$35, 0),_xlpm.c, MATCH(R$39, Pivot!$B$2:$EU$2, 0),IFERROR(INDEX(Pivot!$B$11:$EU$35, _xlpm.r, _xlpm.c), 0))</x:f>
        <x:v>3910000</x:v>
      </x:c>
      <x:c r="S60" s="911" t="e">
        <x:f>_xlfn.LET(_xlpm.r, MATCH($A60, Pivot!$A$11:$A$35, 0),_xlpm.c, MATCH(S$39, Pivot!$B$2:$EU$2, 0),IFERROR(INDEX(Pivot!$B$11:$EU$35, _xlpm.r, _xlpm.c), 0))</x:f>
        <x:v>#N/A</x:v>
      </x:c>
      <x:c r="T60" s="911" t="e">
        <x:f>_xlfn.LET(_xlpm.r, MATCH($A60, Pivot!$A$11:$A$35, 0),_xlpm.c, MATCH(T$39, Pivot!$B$2:$EU$2, 0),IFERROR(INDEX(Pivot!$B$11:$EU$35, _xlpm.r, _xlpm.c), 0))</x:f>
        <x:v>#N/A</x:v>
      </x:c>
      <x:c r="U60" s="912" t="e">
        <x:f>_xlfn.LET(_xlpm.r, MATCH($A60, Pivot!$A$11:$A$35, 0),_xlpm.c, MATCH(U$39, Pivot!$B$2:$EU$2, 0),IFERROR(INDEX(Pivot!$B$11:$EU$35, _xlpm.r, _xlpm.c), 0))</x:f>
        <x:v>#N/A</x:v>
      </x:c>
      <x:c r="V60" s="913" t="e">
        <x:f>_xlfn.LET(_xlpm.r, MATCH($A60, Pivot!$A$11:$A$35, 0),_xlpm.c, MATCH(V$39, Pivot!$B$2:$EU$2, 0),IFERROR(INDEX(Pivot!$B$11:$EU$35, _xlpm.r, _xlpm.c), 0))</x:f>
        <x:v>#N/A</x:v>
      </x:c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  <x:c r="AM60" s="415"/>
      <x:c r="AN60" s="415"/>
      <x:c r="AO60" s="415"/>
      <x:c r="AP60" s="415"/>
      <x:c r="AQ60" s="415"/>
      <x:c r="AR60" s="415"/>
      <x:c r="AS60" s="415"/>
      <x:c r="AT60" s="415"/>
      <x:c r="AU60" s="415"/>
      <x:c r="AV60" s="415"/>
      <x:c r="AW60" s="415"/>
      <x:c r="AX60" s="415"/>
      <x:c r="AY60" s="415"/>
      <x:c r="AZ60" s="415"/>
      <x:c r="BA60" s="415"/>
      <x:c r="BB60" s="415"/>
      <x:c r="BC60" s="415"/>
      <x:c r="BD60" s="415"/>
      <x:c r="BE60" s="415"/>
      <x:c r="BF60" s="415"/>
      <x:c r="BG60" s="415"/>
      <x:c r="BH60" s="415"/>
      <x:c r="BI60" s="415"/>
      <x:c r="BJ60" s="415"/>
      <x:c r="BK60" s="415"/>
      <x:c r="BL60" s="415"/>
      <x:c r="BM60" s="415"/>
      <x:c r="BN60" s="415"/>
      <x:c r="BO60" s="415"/>
      <x:c r="BP60" s="415"/>
      <x:c r="BQ60" s="415"/>
      <x:c r="BR60" s="415"/>
      <x:c r="BS60" s="415"/>
      <x:c r="BT60" s="415"/>
      <x:c r="BU60" s="415"/>
      <x:c r="BV60" s="415"/>
      <x:c r="BW60" s="415"/>
      <x:c r="BX60" s="415"/>
      <x:c r="BY60" s="415"/>
      <x:c r="BZ60" s="415"/>
      <x:c r="CA60" s="415"/>
      <x:c r="CB60" s="415"/>
      <x:c r="CC60" s="415"/>
      <x:c r="CD60" s="415"/>
      <x:c r="CE60" s="415"/>
      <x:c r="CF60" s="415"/>
      <x:c r="CG60" s="415"/>
      <x:c r="CH60" s="415"/>
      <x:c r="CI60" s="415"/>
      <x:c r="CJ60" s="415"/>
      <x:c r="CK60" s="415"/>
      <x:c r="CL60" s="415"/>
      <x:c r="CM60" s="415"/>
    </x:row>
    <x:row r="61" ht="22" customHeight="1">
      <x:c r="A61" s="839" t="s">
        <x:v>166</x:v>
      </x:c>
      <x:c r="B61" s="840" t="s">
        <x:v>33</x:v>
      </x:c>
      <x:c r="C61" s="827" t="str">
        <x:f>_xlfn.LET(_xlpm.r, MATCH($A61, Pivot!$A$11:$A$35, 0),_xlpm.c, MATCH(C$39, Pivot!$B$2:$EU$2, 0),IFERROR(INDEX(Pivot!$B$11:$EU$35, _xlpm.r, _xlpm.c), 0))</x:f>
      </x:c>
      <x:c r="D61" s="827" t="n">
        <x:f>_xlfn.LET(_xlpm.r, MATCH($A61, Pivot!$A$11:$A$35, 0),_xlpm.c, MATCH(D$39, Pivot!$B$2:$EU$2, 0),IFERROR(INDEX(Pivot!$B$11:$EU$35, _xlpm.r, _xlpm.c), 0))</x:f>
        <x:v>150000</x:v>
      </x:c>
      <x:c r="E61" s="841" t="n">
        <x:f>_xlfn.LET(_xlpm.r, MATCH($A61, Pivot!$A$11:$A$35, 0),_xlpm.c, MATCH(E$39, Pivot!$B$2:$EU$2, 0),IFERROR(INDEX(Pivot!$B$11:$EU$35, _xlpm.r, _xlpm.c), 0))</x:f>
        <x:v>385000</x:v>
      </x:c>
      <x:c r="F61" s="841" t="n">
        <x:f>_xlfn.LET(_xlpm.r, MATCH($A61, Pivot!$A$11:$A$35, 0),_xlpm.c, MATCH(F$39, Pivot!$B$2:$EU$2, 0),IFERROR(INDEX(Pivot!$B$11:$EU$35, _xlpm.r, _xlpm.c), 0))</x:f>
        <x:v>1424500</x:v>
      </x:c>
      <x:c r="G61" s="842" t="n">
        <x:f>_xlfn.LET(_xlpm.r, MATCH($A61, Pivot!$A$11:$A$35, 0),_xlpm.c, MATCH(G$39, Pivot!$B$2:$EU$2, 0),IFERROR(INDEX(Pivot!$B$11:$EU$35, _xlpm.r, _xlpm.c), 0))</x:f>
        <x:v>160000</x:v>
      </x:c>
      <x:c r="H61" s="842" t="n">
        <x:f>_xlfn.LET(_xlpm.r, MATCH($A61, Pivot!$A$11:$A$35, 0),_xlpm.c, MATCH(H$39, Pivot!$B$2:$EU$2, 0),IFERROR(INDEX(Pivot!$B$11:$EU$35, _xlpm.r, _xlpm.c), 0))</x:f>
        <x:v>320000</x:v>
      </x:c>
      <x:c r="I61" s="843" t="n">
        <x:f>_xlfn.LET(_xlpm.r, MATCH($A61, Pivot!$A$11:$A$35, 0),_xlpm.c, MATCH(I$39, Pivot!$B$2:$EU$2, 0),IFERROR(INDEX(Pivot!$B$11:$EU$35, _xlpm.r, _xlpm.c), 0))</x:f>
        <x:v>2821000</x:v>
      </x:c>
      <x:c r="J61" s="843" t="n">
        <x:f>_xlfn.LET(_xlpm.r, MATCH($A61, Pivot!$A$11:$A$35, 0),_xlpm.c, MATCH(J$39, Pivot!$B$2:$EU$2, 0),IFERROR(INDEX(Pivot!$B$11:$EU$35, _xlpm.r, _xlpm.c), 0))</x:f>
        <x:v>5005000</x:v>
      </x:c>
      <x:c r="K61" s="844" t="str">
        <x:f>_xlfn.LET(_xlpm.r, MATCH($A61, Pivot!$A$11:$A$35, 0),_xlpm.c, MATCH(K$39, Pivot!$B$2:$EU$2, 0),IFERROR(INDEX(Pivot!$B$11:$EU$35, _xlpm.r, _xlpm.c), 0))</x:f>
      </x:c>
      <x:c r="L61" s="844" t="e">
        <x:f>_xlfn.LET(_xlpm.r, MATCH($A61, Pivot!$A$11:$A$35, 0),_xlpm.c, MATCH(L$39, Pivot!$B$2:$EU$2, 0),IFERROR(INDEX(Pivot!$B$11:$EU$35, _xlpm.r, _xlpm.c), 0))</x:f>
        <x:v>#N/A</x:v>
      </x:c>
      <x:c r="M61" s="845" t="n">
        <x:f>_xlfn.LET(_xlpm.r, MATCH($A61, Pivot!$A$11:$A$35, 0),_xlpm.c, MATCH(M$39, Pivot!$B$2:$EU$2, 0),IFERROR(INDEX(Pivot!$B$11:$EU$35, _xlpm.r, _xlpm.c), 0))</x:f>
        <x:v>12326400</x:v>
      </x:c>
      <x:c r="N61" s="845" t="n">
        <x:f>_xlfn.LET(_xlpm.r, MATCH($A61, Pivot!$A$11:$A$35, 0),_xlpm.c, MATCH(N$39, Pivot!$B$2:$EU$2, 0),IFERROR(INDEX(Pivot!$B$11:$EU$35, _xlpm.r, _xlpm.c), 0))</x:f>
        <x:v>45816600</x:v>
      </x:c>
      <x:c r="O61" s="844" t="n">
        <x:f>_xlfn.LET(_xlpm.r, MATCH($A61, Pivot!$A$11:$A$35, 0),_xlpm.c, MATCH(O$39, Pivot!$B$2:$EU$2, 0),IFERROR(INDEX(Pivot!$B$11:$EU$35, _xlpm.r, _xlpm.c), 0))</x:f>
        <x:v>2088000</x:v>
      </x:c>
      <x:c r="P61" s="844" t="n">
        <x:f>_xlfn.LET(_xlpm.r, MATCH($A61, Pivot!$A$11:$A$35, 0),_xlpm.c, MATCH(P$39, Pivot!$B$2:$EU$2, 0),IFERROR(INDEX(Pivot!$B$11:$EU$35, _xlpm.r, _xlpm.c), 0))</x:f>
        <x:v>2784000</x:v>
      </x:c>
      <x:c r="Q61" s="842" t="str">
        <x:f>_xlfn.LET(_xlpm.r, MATCH($A61, Pivot!$A$11:$A$35, 0),_xlpm.c, MATCH(Q$39, Pivot!$B$2:$EU$2, 0),IFERROR(INDEX(Pivot!$B$11:$EU$35, _xlpm.r, _xlpm.c), 0))</x:f>
      </x:c>
      <x:c r="R61" s="842" t="str">
        <x:f>_xlfn.LET(_xlpm.r, MATCH($A61, Pivot!$A$11:$A$35, 0),_xlpm.c, MATCH(R$39, Pivot!$B$2:$EU$2, 0),IFERROR(INDEX(Pivot!$B$11:$EU$35, _xlpm.r, _xlpm.c), 0))</x:f>
      </x:c>
      <x:c r="S61" s="841" t="e">
        <x:f>_xlfn.LET(_xlpm.r, MATCH($A61, Pivot!$A$11:$A$35, 0),_xlpm.c, MATCH(S$39, Pivot!$B$2:$EU$2, 0),IFERROR(INDEX(Pivot!$B$11:$EU$35, _xlpm.r, _xlpm.c), 0))</x:f>
        <x:v>#N/A</x:v>
      </x:c>
      <x:c r="T61" s="841" t="e">
        <x:f>_xlfn.LET(_xlpm.r, MATCH($A61, Pivot!$A$11:$A$35, 0),_xlpm.c, MATCH(T$39, Pivot!$B$2:$EU$2, 0),IFERROR(INDEX(Pivot!$B$11:$EU$35, _xlpm.r, _xlpm.c), 0))</x:f>
        <x:v>#N/A</x:v>
      </x:c>
      <x:c r="U61" s="845" t="e">
        <x:f>_xlfn.LET(_xlpm.r, MATCH($A61, Pivot!$A$11:$A$35, 0),_xlpm.c, MATCH(U$39, Pivot!$B$2:$EU$2, 0),IFERROR(INDEX(Pivot!$B$11:$EU$35, _xlpm.r, _xlpm.c), 0))</x:f>
        <x:v>#N/A</x:v>
      </x:c>
      <x:c r="V61" s="846" t="e">
        <x:f>_xlfn.LET(_xlpm.r, MATCH($A61, Pivot!$A$11:$A$35, 0),_xlpm.c, MATCH(V$39, Pivot!$B$2:$EU$2, 0),IFERROR(INDEX(Pivot!$B$11:$EU$35, _xlpm.r, _xlpm.c), 0))</x:f>
        <x:v>#N/A</x:v>
      </x:c>
      <x:c r="W61" s="383"/>
      <x:c r="X61" s="383"/>
      <x:c r="Y61" s="383"/>
      <x:c r="Z61" s="383"/>
      <x:c r="AA61" s="383"/>
      <x:c r="AB61" s="383"/>
      <x:c r="AC61" s="383"/>
      <x:c r="AD61" s="383"/>
      <x:c r="AE61" s="383"/>
      <x:c r="AF61" s="383"/>
      <x:c r="AG61" s="383"/>
      <x:c r="AH61" s="383"/>
      <x:c r="AI61" s="383"/>
      <x:c r="AJ61" s="383"/>
      <x:c r="AK61" s="383"/>
      <x:c r="AL61" s="383"/>
      <x:c r="AM61" s="383"/>
      <x:c r="AN61" s="383"/>
      <x:c r="AO61" s="383"/>
      <x:c r="AP61" s="383"/>
      <x:c r="AQ61" s="383"/>
      <x:c r="AR61" s="383"/>
      <x:c r="AS61" s="383"/>
      <x:c r="AT61" s="383"/>
      <x:c r="AU61" s="383"/>
      <x:c r="AV61" s="383"/>
      <x:c r="AW61" s="383"/>
      <x:c r="AX61" s="383"/>
      <x:c r="AY61" s="383"/>
      <x:c r="AZ61" s="383"/>
      <x:c r="BA61" s="383"/>
      <x:c r="BB61" s="383"/>
      <x:c r="BC61" s="383"/>
      <x:c r="BD61" s="383"/>
      <x:c r="BE61" s="383"/>
      <x:c r="BF61" s="383"/>
      <x:c r="BG61" s="383"/>
      <x:c r="BH61" s="383"/>
      <x:c r="BI61" s="383"/>
      <x:c r="BJ61" s="383"/>
      <x:c r="BK61" s="383"/>
      <x:c r="BL61" s="383"/>
      <x:c r="BM61" s="383"/>
      <x:c r="BN61" s="383"/>
      <x:c r="BO61" s="383"/>
      <x:c r="BP61" s="383"/>
      <x:c r="BQ61" s="383"/>
      <x:c r="BR61" s="383"/>
      <x:c r="BS61" s="383"/>
      <x:c r="BT61" s="383"/>
      <x:c r="BU61" s="383"/>
      <x:c r="BV61" s="383"/>
      <x:c r="BW61" s="383"/>
      <x:c r="BX61" s="383"/>
      <x:c r="BY61" s="383"/>
      <x:c r="BZ61" s="383"/>
      <x:c r="CA61" s="383"/>
      <x:c r="CB61" s="383"/>
      <x:c r="CC61" s="383"/>
      <x:c r="CD61" s="383"/>
      <x:c r="CE61" s="383"/>
      <x:c r="CF61" s="383"/>
      <x:c r="CG61" s="383"/>
      <x:c r="CH61" s="383"/>
      <x:c r="CI61" s="383"/>
      <x:c r="CJ61" s="383"/>
      <x:c r="CK61" s="383"/>
      <x:c r="CL61" s="383"/>
      <x:c r="CM61" s="383"/>
    </x:row>
    <x:row r="62" ht="22" customHeight="1">
      <x:c r="A62" s="479"/>
      <x:c r="B62" s="914" t="s">
        <x:v>177</x:v>
      </x:c>
      <x:c r="C62" s="915" t="n">
        <x:f>SUM(C42:C61)</x:f>
        <x:v>2940000</x:v>
      </x:c>
      <x:c r="D62" s="915" t="n">
        <x:f t="shared" ref="D62:V62" si="7">SUM(D42:D61)</x:f>
        <x:v>8715000</x:v>
      </x:c>
      <x:c r="E62" s="916">
        <x:f t="shared" si="7"/>
        <x:v>22257400</x:v>
      </x:c>
      <x:c r="F62" s="916">
        <x:f t="shared" si="7"/>
        <x:v>87433500</x:v>
      </x:c>
      <x:c r="G62" s="916">
        <x:f t="shared" si="7"/>
        <x:v>28800000</x:v>
      </x:c>
      <x:c r="H62" s="916">
        <x:f t="shared" si="7"/>
        <x:v>96064000</x:v>
      </x:c>
      <x:c r="I62" s="916">
        <x:f t="shared" si="7"/>
        <x:v>27118000</x:v>
      </x:c>
      <x:c r="J62" s="916">
        <x:f t="shared" si="7"/>
        <x:v>96642000</x:v>
      </x:c>
      <x:c r="K62" s="911">
        <x:f t="shared" si="7"/>
        <x:v>11280000</x:v>
      </x:c>
      <x:c r="L62" s="911">
        <x:f t="shared" si="7"/>
        <x:v>63960000</x:v>
      </x:c>
      <x:c r="M62" s="916">
        <x:f t="shared" si="7"/>
        <x:v>398860800</x:v>
      </x:c>
      <x:c r="N62" s="917">
        <x:f t="shared" si="7"/>
        <x:v>1063910600</x:v>
      </x:c>
      <x:c r="O62" s="911">
        <x:f t="shared" si="7"/>
        <x:v>20880000</x:v>
      </x:c>
      <x:c r="P62" s="911">
        <x:f t="shared" si="7"/>
        <x:v>74588000</x:v>
      </x:c>
      <x:c r="Q62" s="916">
        <x:f t="shared" si="7"/>
        <x:v>6095000</x:v>
      </x:c>
      <x:c r="R62" s="916">
        <x:f t="shared" si="7"/>
        <x:v>46000000</x:v>
      </x:c>
      <x:c r="S62" s="916">
        <x:f t="shared" si="7"/>
        <x:v>0</x:v>
      </x:c>
      <x:c r="T62" s="916">
        <x:f t="shared" si="7"/>
        <x:v>0</x:v>
      </x:c>
      <x:c r="U62" s="916">
        <x:f t="shared" si="7"/>
        <x:v>0</x:v>
      </x:c>
      <x:c r="V62" s="915">
        <x:f t="shared" si="7"/>
        <x:v>0</x:v>
      </x:c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  <x:c r="AM62" s="415"/>
      <x:c r="AN62" s="415"/>
      <x:c r="AO62" s="415"/>
      <x:c r="AP62" s="415"/>
      <x:c r="AQ62" s="415"/>
      <x:c r="AR62" s="415"/>
      <x:c r="AS62" s="415"/>
      <x:c r="AT62" s="415"/>
      <x:c r="AU62" s="415"/>
      <x:c r="AV62" s="415"/>
      <x:c r="AW62" s="415"/>
      <x:c r="AX62" s="415"/>
      <x:c r="AY62" s="415"/>
      <x:c r="AZ62" s="415"/>
      <x:c r="BA62" s="415"/>
      <x:c r="BB62" s="415"/>
      <x:c r="BC62" s="415"/>
      <x:c r="BD62" s="415"/>
      <x:c r="BE62" s="415"/>
      <x:c r="BF62" s="415"/>
      <x:c r="BG62" s="415"/>
      <x:c r="BH62" s="415"/>
      <x:c r="BI62" s="415"/>
      <x:c r="BJ62" s="415"/>
      <x:c r="BK62" s="415"/>
      <x:c r="BL62" s="415"/>
      <x:c r="BM62" s="415"/>
      <x:c r="BN62" s="415"/>
      <x:c r="BO62" s="415"/>
      <x:c r="BP62" s="415"/>
      <x:c r="BQ62" s="415"/>
      <x:c r="BR62" s="415"/>
      <x:c r="BS62" s="415"/>
      <x:c r="BT62" s="415"/>
      <x:c r="BU62" s="415"/>
      <x:c r="BV62" s="415"/>
      <x:c r="BW62" s="415"/>
      <x:c r="BX62" s="415"/>
      <x:c r="BY62" s="415"/>
      <x:c r="BZ62" s="415"/>
      <x:c r="CA62" s="415"/>
      <x:c r="CB62" s="415"/>
      <x:c r="CC62" s="415"/>
      <x:c r="CD62" s="415"/>
      <x:c r="CE62" s="415"/>
      <x:c r="CF62" s="415"/>
      <x:c r="CG62" s="415"/>
      <x:c r="CH62" s="415"/>
      <x:c r="CI62" s="415"/>
      <x:c r="CJ62" s="415"/>
      <x:c r="CK62" s="415"/>
      <x:c r="CL62" s="415"/>
      <x:c r="CM62" s="415"/>
    </x:row>
    <x:row r="63" ht="22" customHeight="1">
      <x:c r="A63" s="480"/>
      <x:c r="B63" s="383"/>
      <x:c r="C63" s="443" t="n">
        <x:f>SUM(C62:V62)+C9+U9</x:f>
        <x:v>2057705300</x:v>
      </x:c>
      <x:c r="D63" s="443" t="n">
        <x:f>_xlfn.LET(_xlpm.r, MATCH($B62, Pivot!$A$11:$A$35, 0),_xlpm.c, MATCH(B$39, Pivot!$B$2:$EU$2, 0),IFERROR(INDEX(Pivot!$B$11:$EU$35, _xlpm.r, _xlpm.c), 0))</x:f>
        <x:v>2058212300</x:v>
      </x:c>
      <x:c r="E63" s="383"/>
      <x:c r="F63" s="383"/>
      <x:c r="G63" s="383"/>
      <x:c r="H63" s="383"/>
      <x:c r="I63" s="383"/>
      <x:c r="J63" s="383"/>
      <x:c r="K63" s="383"/>
      <x:c r="L63" s="383"/>
      <x:c r="M63" s="383"/>
      <x:c r="N63" s="383"/>
      <x:c r="O63" s="383"/>
      <x:c r="P63" s="383"/>
      <x:c r="Q63" s="383"/>
      <x:c r="R63" s="383"/>
      <x:c r="S63" s="383"/>
      <x:c r="T63" s="383"/>
      <x:c r="U63" s="383"/>
      <x:c r="V63" s="383"/>
      <x:c r="W63" s="383"/>
      <x:c r="X63" s="383"/>
      <x:c r="Y63" s="383"/>
      <x:c r="Z63" s="383"/>
      <x:c r="AA63" s="383"/>
      <x:c r="AB63" s="383"/>
      <x:c r="AC63" s="383"/>
      <x:c r="AD63" s="383"/>
      <x:c r="AE63" s="383"/>
      <x:c r="AF63" s="383"/>
      <x:c r="AG63" s="383"/>
      <x:c r="AH63" s="383"/>
      <x:c r="AI63" s="383"/>
      <x:c r="AJ63" s="383"/>
      <x:c r="AK63" s="383"/>
      <x:c r="AL63" s="383"/>
      <x:c r="AM63" s="383"/>
      <x:c r="AN63" s="383"/>
      <x:c r="AO63" s="383"/>
      <x:c r="AP63" s="383"/>
      <x:c r="AQ63" s="383"/>
      <x:c r="AR63" s="383"/>
      <x:c r="AS63" s="383"/>
      <x:c r="AT63" s="383"/>
      <x:c r="AU63" s="383"/>
      <x:c r="AV63" s="383"/>
      <x:c r="AW63" s="383"/>
      <x:c r="AX63" s="383"/>
      <x:c r="AY63" s="383"/>
      <x:c r="AZ63" s="383"/>
      <x:c r="BA63" s="383"/>
      <x:c r="BB63" s="383"/>
      <x:c r="BC63" s="383"/>
      <x:c r="BD63" s="383"/>
      <x:c r="BE63" s="383"/>
      <x:c r="BF63" s="383"/>
      <x:c r="BG63" s="383"/>
      <x:c r="BH63" s="383"/>
      <x:c r="BI63" s="383"/>
      <x:c r="BJ63" s="383"/>
      <x:c r="BK63" s="383"/>
      <x:c r="BL63" s="383"/>
      <x:c r="BM63" s="383"/>
      <x:c r="BN63" s="383"/>
      <x:c r="BO63" s="383"/>
      <x:c r="BP63" s="383"/>
      <x:c r="BQ63" s="383"/>
      <x:c r="BR63" s="383"/>
      <x:c r="BS63" s="383"/>
      <x:c r="BT63" s="383"/>
      <x:c r="BU63" s="383"/>
      <x:c r="BV63" s="383"/>
      <x:c r="BW63" s="383"/>
      <x:c r="BX63" s="383"/>
      <x:c r="BY63" s="383"/>
      <x:c r="BZ63" s="383"/>
      <x:c r="CA63" s="383"/>
      <x:c r="CB63" s="383"/>
      <x:c r="CC63" s="383"/>
      <x:c r="CD63" s="383"/>
      <x:c r="CE63" s="383"/>
      <x:c r="CF63" s="383"/>
      <x:c r="CG63" s="383"/>
      <x:c r="CH63" s="383"/>
      <x:c r="CI63" s="383"/>
      <x:c r="CJ63" s="383"/>
      <x:c r="CK63" s="383"/>
      <x:c r="CL63" s="383"/>
      <x:c r="CM63" s="383"/>
    </x:row>
    <x:row r="64" ht="22" customHeight="1">
      <x:c r="A64" s="918"/>
      <x:c r="B64" s="475"/>
      <x:c r="C64" s="475"/>
      <x:c r="D64" s="474" t="n">
        <x:f>D63-C63</x:f>
        <x:v>507000</x:v>
      </x:c>
      <x:c r="E64" s="475"/>
      <x:c r="F64" s="475"/>
      <x:c r="G64" s="475"/>
      <x:c r="H64" s="475"/>
      <x:c r="I64" s="475"/>
      <x:c r="J64" s="475"/>
      <x:c r="K64" s="475"/>
      <x:c r="L64" s="475"/>
      <x:c r="M64" s="475"/>
      <x:c r="N64" s="475"/>
      <x:c r="O64" s="475"/>
      <x:c r="P64" s="475"/>
      <x:c r="Q64" s="475"/>
      <x:c r="R64" s="475"/>
      <x:c r="S64" s="475"/>
      <x:c r="T64" s="475"/>
      <x:c r="U64" s="475"/>
      <x:c r="V64" s="475"/>
      <x:c r="W64" s="475"/>
      <x:c r="X64" s="475"/>
      <x:c r="Y64" s="475"/>
      <x:c r="Z64" s="475"/>
      <x:c r="AA64" s="475"/>
      <x:c r="AB64" s="475"/>
      <x:c r="AC64" s="475"/>
      <x:c r="AD64" s="475"/>
      <x:c r="AE64" s="475"/>
      <x:c r="AF64" s="475"/>
      <x:c r="AG64" s="475"/>
      <x:c r="AH64" s="475"/>
      <x:c r="AI64" s="475"/>
      <x:c r="AJ64" s="475"/>
      <x:c r="AK64" s="475"/>
      <x:c r="AL64" s="475"/>
      <x:c r="AM64" s="475"/>
      <x:c r="AN64" s="475"/>
      <x:c r="AO64" s="475"/>
      <x:c r="AP64" s="475"/>
      <x:c r="AQ64" s="475"/>
      <x:c r="AR64" s="475"/>
      <x:c r="AS64" s="475"/>
      <x:c r="AT64" s="475"/>
      <x:c r="AU64" s="475"/>
      <x:c r="AV64" s="475"/>
      <x:c r="AW64" s="475"/>
      <x:c r="AX64" s="475"/>
      <x:c r="AY64" s="475"/>
      <x:c r="AZ64" s="475"/>
      <x:c r="BA64" s="475"/>
      <x:c r="BB64" s="475"/>
      <x:c r="BC64" s="475"/>
      <x:c r="BD64" s="475"/>
      <x:c r="BE64" s="475"/>
      <x:c r="BF64" s="475"/>
      <x:c r="BG64" s="475"/>
      <x:c r="BH64" s="475"/>
      <x:c r="BI64" s="475"/>
      <x:c r="BJ64" s="475"/>
      <x:c r="BK64" s="475"/>
      <x:c r="BL64" s="475"/>
      <x:c r="BM64" s="475"/>
      <x:c r="BN64" s="475"/>
      <x:c r="BO64" s="475"/>
      <x:c r="BP64" s="475"/>
      <x:c r="BQ64" s="475"/>
      <x:c r="BR64" s="475"/>
      <x:c r="BS64" s="475"/>
      <x:c r="BT64" s="475"/>
      <x:c r="BU64" s="475"/>
      <x:c r="BV64" s="475"/>
      <x:c r="BW64" s="475"/>
      <x:c r="BX64" s="475"/>
      <x:c r="BY64" s="475"/>
      <x:c r="BZ64" s="475"/>
      <x:c r="CA64" s="475"/>
      <x:c r="CB64" s="475"/>
      <x:c r="CC64" s="475"/>
      <x:c r="CD64" s="475"/>
      <x:c r="CE64" s="475"/>
      <x:c r="CF64" s="475"/>
      <x:c r="CG64" s="475"/>
      <x:c r="CH64" s="475"/>
      <x:c r="CI64" s="475"/>
      <x:c r="CJ64" s="475"/>
      <x:c r="CK64" s="475"/>
      <x:c r="CL64" s="475"/>
      <x:c r="CM64" s="475"/>
    </x:row>
  </x:sheetData>
  <x:mergeCells>
    <x:mergeCell ref="J31:L31"/>
    <x:mergeCell ref="M14:O14"/>
    <x:mergeCell ref="M15:O15"/>
    <x:mergeCell ref="M27:O27"/>
    <x:mergeCell ref="M28:O28"/>
    <x:mergeCell ref="M29:O29"/>
    <x:mergeCell ref="M30:O30"/>
    <x:mergeCell ref="M31:O31"/>
    <x:mergeCell ref="J25:L25"/>
    <x:mergeCell ref="J26:L26"/>
    <x:mergeCell ref="J27:L27"/>
    <x:mergeCell ref="J28:L28"/>
    <x:mergeCell ref="J29:L29"/>
    <x:mergeCell ref="J20:L20"/>
    <x:mergeCell ref="J21:L21"/>
    <x:mergeCell ref="J22:L22"/>
    <x:mergeCell ref="J23:L23"/>
    <x:mergeCell ref="J24:L24"/>
    <x:mergeCell ref="J15:L15"/>
    <x:mergeCell ref="J16:L16"/>
    <x:mergeCell ref="J17:L17"/>
    <x:mergeCell ref="J18:L18"/>
    <x:mergeCell ref="U25:V25"/>
    <x:mergeCell ref="U26:V26"/>
    <x:mergeCell ref="U27:V27"/>
    <x:mergeCell ref="U28:V28"/>
    <x:mergeCell ref="U29:V29"/>
    <x:mergeCell ref="U9:V9"/>
    <x:mergeCell ref="H9:I11"/>
    <x:mergeCell ref="J9:L10"/>
    <x:mergeCell ref="M9:O10"/>
    <x:mergeCell ref="J11:L11"/>
    <x:mergeCell ref="J12:L12"/>
    <x:mergeCell ref="J13:L13"/>
    <x:mergeCell ref="M12:O12"/>
    <x:mergeCell ref="M13:O13"/>
    <x:mergeCell ref="S10:V10"/>
    <x:mergeCell ref="U11:V11"/>
    <x:mergeCell ref="U12:V12"/>
    <x:mergeCell ref="C28:D28"/>
    <x:mergeCell ref="U22:V22"/>
    <x:mergeCell ref="U23:V23"/>
    <x:mergeCell ref="U24:V24"/>
    <x:mergeCell ref="J30:L30"/>
    <x:mergeCell ref="S31:T31"/>
    <x:mergeCell ref="S11:T11"/>
    <x:mergeCell ref="S12:T12"/>
    <x:mergeCell ref="S13:T13"/>
    <x:mergeCell ref="S14:T14"/>
    <x:mergeCell ref="S15:T15"/>
    <x:mergeCell ref="M24:O24"/>
    <x:mergeCell ref="U13:V13"/>
    <x:mergeCell ref="U14:V14"/>
    <x:mergeCell ref="U15:V15"/>
    <x:mergeCell ref="U16:V16"/>
    <x:mergeCell ref="U17:V17"/>
    <x:mergeCell ref="U18:V18"/>
    <x:mergeCell ref="U19:V19"/>
    <x:mergeCell ref="U20:V20"/>
    <x:mergeCell ref="U21:V21"/>
    <x:mergeCell ref="U30:V30"/>
    <x:mergeCell ref="U31:V31"/>
    <x:mergeCell ref="J14:L14"/>
    <x:mergeCell ref="C20:D20"/>
    <x:mergeCell ref="C12:D12"/>
    <x:mergeCell ref="C9:D9"/>
    <x:mergeCell ref="C15:D15"/>
    <x:mergeCell ref="C14:D14"/>
    <x:mergeCell ref="C13:D13"/>
    <x:mergeCell ref="C31:D31"/>
    <x:mergeCell ref="S26:T26"/>
    <x:mergeCell ref="S27:T27"/>
    <x:mergeCell ref="S28:T28"/>
    <x:mergeCell ref="S29:T29"/>
    <x:mergeCell ref="S30:T30"/>
    <x:mergeCell ref="S21:T21"/>
    <x:mergeCell ref="S22:T22"/>
    <x:mergeCell ref="S23:T23"/>
    <x:mergeCell ref="S24:T24"/>
    <x:mergeCell ref="S25:T25"/>
    <x:mergeCell ref="S16:T16"/>
    <x:mergeCell ref="S17:T17"/>
    <x:mergeCell ref="S18:T18"/>
    <x:mergeCell ref="S19:T19"/>
    <x:mergeCell ref="S20:T20"/>
    <x:mergeCell ref="C26:D26"/>
    <x:mergeCell ref="C27:D27"/>
    <x:mergeCell ref="B40:B41"/>
    <x:mergeCell ref="G6:H6"/>
    <x:mergeCell ref="I6:K6"/>
    <x:mergeCell ref="L6:P6"/>
    <x:mergeCell ref="C3:D3"/>
    <x:mergeCell ref="I5:P5"/>
    <x:mergeCell ref="D6:F6"/>
    <x:mergeCell ref="B8:V8"/>
    <x:mergeCell ref="E7:F7"/>
    <x:mergeCell ref="G7:H7"/>
    <x:mergeCell ref="I7:K7"/>
    <x:mergeCell ref="L7:P7"/>
    <x:mergeCell ref="B10:D10"/>
    <x:mergeCell ref="M11:O11"/>
    <x:mergeCell ref="M16:O16"/>
    <x:mergeCell ref="M17:O17"/>
    <x:mergeCell ref="M18:O18"/>
    <x:mergeCell ref="M19:O19"/>
    <x:mergeCell ref="M20:O20"/>
    <x:mergeCell ref="M21:O21"/>
    <x:mergeCell ref="J19:L19"/>
    <x:mergeCell ref="M22:O22"/>
    <x:mergeCell ref="M23:O23"/>
    <x:mergeCell ref="C29:D29"/>
    <x:mergeCell ref="C1:E1"/>
    <x:mergeCell ref="Q40:R40"/>
    <x:mergeCell ref="S40:T40"/>
    <x:mergeCell ref="U40:V40"/>
    <x:mergeCell ref="C40:D40"/>
    <x:mergeCell ref="E40:F40"/>
    <x:mergeCell ref="G40:H40"/>
    <x:mergeCell ref="I40:J40"/>
    <x:mergeCell ref="K40:L40"/>
    <x:mergeCell ref="M40:N40"/>
    <x:mergeCell ref="M25:O25"/>
    <x:mergeCell ref="M26:O26"/>
    <x:mergeCell ref="O40:P40"/>
    <x:mergeCell ref="C11:D11"/>
    <x:mergeCell ref="C30:D30"/>
    <x:mergeCell ref="C21:D21"/>
    <x:mergeCell ref="C22:D22"/>
    <x:mergeCell ref="C23:D23"/>
    <x:mergeCell ref="C24:D24"/>
    <x:mergeCell ref="C25:D25"/>
    <x:mergeCell ref="C16:D16"/>
    <x:mergeCell ref="C17:D17"/>
    <x:mergeCell ref="C18:D18"/>
    <x:mergeCell ref="C19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9.140625" defaultRowHeight="15"/>
  <x:cols>
    <x:col min="1" max="1" width="16" style="216" hidden="0" customWidth="1"/>
    <x:col min="2" max="2" width="19" style="1" hidden="0" customWidth="1"/>
    <x:col min="3" max="3" width="13" style="1" hidden="0" customWidth="1"/>
    <x:col min="4" max="4" width="13" style="12" hidden="0" customWidth="1"/>
    <x:col min="5" max="5" width="13" style="12" hidden="0" customWidth="1"/>
    <x:col min="6" max="6" width="13" style="12" hidden="0" customWidth="1"/>
    <x:col min="7" max="7" width="13" style="12" hidden="0" customWidth="1"/>
    <x:col min="8" max="8" width="13" style="12" hidden="0" customWidth="1"/>
    <x:col min="9" max="9" width="13" style="1" hidden="0" customWidth="1"/>
    <x:col min="10" max="10" width="13" style="1" hidden="0" customWidth="1"/>
    <x:col min="11" max="11" width="13" style="1" hidden="0" customWidth="1"/>
    <x:col min="12" max="12" width="13" style="1" hidden="0" customWidth="1"/>
    <x:col min="13" max="13" width="13" style="1" hidden="0" customWidth="1"/>
    <x:col min="14" max="14" width="13" style="1" hidden="0" customWidth="1"/>
    <x:col min="15" max="15" width="13" style="12" hidden="0" customWidth="1"/>
    <x:col min="16" max="16" width="13" style="12" hidden="0" customWidth="1"/>
    <x:col min="17" max="17" width="13" style="210" hidden="0" customWidth="1"/>
    <x:col min="18" max="18" width="13" style="210" hidden="0" customWidth="1"/>
    <x:col min="19" max="16384" width="9.140625" style="1" customWidth="0"/>
    <x:col min="19" max="19" width="13" hidden="0" customWidth="1"/>
    <x:col min="20" max="20" width="13" hidden="0" customWidth="1"/>
  </x:cols>
  <x:sheetData>
    <x:row r="1" s="207" customFormat="1" ht="22" customHeight="1">
      <x:c r="A1" s="991" t="n">
        <x:f ca="1">TODAY()-IF(WEEKDAY(TODAY())=2,2,1)</x:f>
        <x:v>46214</x:v>
      </x:c>
      <x:c r="B1" s="983"/>
      <x:c r="C1" s="984" t="s">
        <x:v>253</x:v>
      </x:c>
      <x:c r="D1" s="984"/>
      <x:c r="E1" s="984"/>
      <x:c r="F1" s="984"/>
      <x:c r="G1" s="985"/>
      <x:c r="H1" s="457"/>
      <x:c r="I1" s="457"/>
      <x:c r="J1" s="457"/>
      <x:c r="K1" s="457"/>
      <x:c r="L1" s="457"/>
      <x:c r="M1" s="457"/>
      <x:c r="N1" s="457"/>
      <x:c r="O1" s="457"/>
      <x:c r="P1" s="457"/>
      <x:c r="Q1" s="458" t="n">
        <x:f>SUM(Q2:Q1002)</x:f>
        <x:v>0</x:v>
      </x:c>
      <x:c r="R1" s="458" t="n">
        <x:f ca="1">SUM(R2:R1002)</x:f>
        <x:v>0</x:v>
      </x:c>
      <x:c r="S1" s="457"/>
      <x:c r="T1" s="457"/>
    </x:row>
    <x:row r="2" ht="22" customHeight="1">
      <x:c r="A2" s="423" t="s">
        <x:v>180</x:v>
      </x:c>
      <x:c r="B2" s="412" t="s">
        <x:v>181</x:v>
      </x:c>
      <x:c r="C2" s="618" t="s">
        <x:v>182</x:v>
      </x:c>
      <x:c r="D2" s="618" t="s">
        <x:v>183</x:v>
      </x:c>
      <x:c r="E2" s="618" t="s">
        <x:v>184</x:v>
      </x:c>
      <x:c r="F2" s="618" t="s">
        <x:v>185</x:v>
      </x:c>
      <x:c r="G2" s="618" t="s">
        <x:v>186</x:v>
      </x:c>
      <x:c r="H2" s="412"/>
      <x:c r="I2" s="412"/>
      <x:c r="J2" s="412"/>
      <x:c r="K2" s="412"/>
      <x:c r="L2" s="412"/>
      <x:c r="M2" s="412"/>
      <x:c r="N2" s="412" t="s">
        <x:v>17</x:v>
      </x:c>
      <x:c r="O2" s="412" t="s">
        <x:v>254</x:v>
      </x:c>
      <x:c r="P2" s="412">
        <x:v>1</x:v>
      </x:c>
      <x:c r="Q2" s="467" t="n">
        <x:f>SUMIF('[2]SAVDO BALANS'!$BE:$BE,O2,'[2]SAVDO BALANS'!$BF:$BF)</x:f>
        <x:v>0</x:v>
      </x:c>
      <x:c r="R2" s="467" t="n" cm="1">
        <x:f t="array" aca="1" ref="R2" ca="1">IFERROR(_xlfn.XLOOKUP($A$1,'[2]SAVDO BALANS'!$AA$11:$BB$11,_xlfn.XLOOKUP($O2,'[2]SAVDO BALANS'!$Z$12:$Z$100,'[2]SAVDO BALANS'!$AA$12:$BB$100)),0)</x:f>
        <x:v>0</x:v>
      </x:c>
      <x:c r="S2" s="412"/>
      <x:c r="T2" s="412"/>
    </x:row>
    <x:row r="3" ht="22" customHeight="1">
      <x:c r="A3" s="625"/>
      <x:c r="B3" s="988"/>
      <x:c r="C3" s="621" t="n">
        <x:f>SUM(C4:C23)</x:f>
        <x:v>70385501</x:v>
      </x:c>
      <x:c r="D3" s="622" t="n">
        <x:f>SUM(D4:D23)</x:f>
        <x:v>55274901</x:v>
      </x:c>
      <x:c r="E3" s="622" t="n">
        <x:f ca="1">SUM(E4:E23)</x:f>
        <x:v>67986400</x:v>
      </x:c>
      <x:c r="F3" s="622" t="n">
        <x:f ca="1">SUM(F4:F23)</x:f>
        <x:v>2399101</x:v>
      </x:c>
      <x:c r="G3" s="623" t="n">
        <x:f>SUM(G4:G23)</x:f>
        <x:v>-1162896993</x:v>
      </x:c>
      <x:c r="H3" s="415"/>
      <x:c r="I3" s="415"/>
      <x:c r="J3" s="415"/>
      <x:c r="K3" s="415"/>
      <x:c r="L3" s="415"/>
      <x:c r="M3" s="415"/>
      <x:c r="N3" s="415" t="s">
        <x:v>17</x:v>
      </x:c>
      <x:c r="O3" s="415" t="s">
        <x:v>255</x:v>
      </x:c>
      <x:c r="P3" s="415">
        <x:v>1</x:v>
      </x:c>
      <x:c r="Q3" s="472" t="n">
        <x:f>SUMIF('[2]SAVDO BALANS'!$BE:$BE,O3,'[2]SAVDO BALANS'!$BF:$BF)</x:f>
        <x:v>0</x:v>
      </x:c>
      <x:c r="R3" s="472" t="n" cm="1">
        <x:f t="array" aca="1" ref="R3" ca="1">IFERROR(_xlfn.XLOOKUP($A$1,'[2]SAVDO BALANS'!$AA$11:$BB$11,_xlfn.XLOOKUP($O3,'[2]SAVDO BALANS'!$Z$12:$Z$100,'[2]SAVDO BALANS'!$AA$12:$BB$100)),0)</x:f>
        <x:v>0</x:v>
      </x:c>
      <x:c r="S3" s="415"/>
      <x:c r="T3" s="415"/>
    </x:row>
    <x:row r="4" ht="22" customHeight="1">
      <x:c r="A4" s="974">
        <x:v>1</x:v>
      </x:c>
      <x:c r="B4" s="975" t="s">
        <x:v>17</x:v>
      </x:c>
      <x:c r="C4" s="976" t="n">
        <x:f>_xlfn.XLOOKUP(H4,MANUS!$A$5:$A$24,MANUS!$F$5:$F$24,0,0)</x:f>
        <x:v>3895101</x:v>
      </x:c>
      <x:c r="D4" s="977" t="n">
        <x:f>_xlfn.XLOOKUP(H4,MANUS!$A$5:$A$24,MANUS!$G$5:$G$24,0,0)</x:f>
        <x:v>3895101</x:v>
      </x:c>
      <x:c r="E4" s="977" t="n">
        <x:f t="shared" ref="E4:E23" ca="1" si="0">SUMIF(N:N,B4,R:R)</x:f>
        <x:v>0</x:v>
      </x:c>
      <x:c r="F4" s="977" t="n">
        <x:f t="shared" ref="F4:F23" ca="1" si="1">C4-E4</x:f>
        <x:v>3895101</x:v>
      </x:c>
      <x:c r="G4" s="978" t="n">
        <x:f t="shared" ref="G4:G23" si="2">SUMIF(N:N,B4,Q:Q)</x:f>
        <x:v>0</x:v>
      </x:c>
      <x:c r="H4" s="383" t="s">
        <x:v>17</x:v>
      </x:c>
      <x:c r="I4" s="383"/>
      <x:c r="J4" s="383"/>
      <x:c r="K4" s="808"/>
      <x:c r="L4" s="480"/>
      <x:c r="M4" s="480"/>
      <x:c r="N4" s="383" t="s">
        <x:v>17</x:v>
      </x:c>
      <x:c r="O4" s="383" t="s">
        <x:v>256</x:v>
      </x:c>
      <x:c r="P4" s="383">
        <x:v>1</x:v>
      </x:c>
      <x:c r="Q4" s="443" t="n">
        <x:f>SUMIF('[2]SAVDO BALANS'!$BE:$BE,O4,'[2]SAVDO BALANS'!$BF:$BF)</x:f>
        <x:v>0</x:v>
      </x:c>
      <x:c r="R4" s="443" t="n" cm="1">
        <x:f t="array" aca="1" ref="R4" ca="1">IFERROR(_xlfn.XLOOKUP($A$1,'[2]SAVDO BALANS'!$AA$11:$BB$11,_xlfn.XLOOKUP($O4,'[2]SAVDO BALANS'!$Z$12:$Z$100,'[2]SAVDO BALANS'!$AA$12:$BB$100)),0)</x:f>
        <x:v>0</x:v>
      </x:c>
      <x:c r="S4" s="383"/>
      <x:c r="T4" s="383"/>
    </x:row>
    <x:row r="5" ht="22" customHeight="1">
      <x:c r="A5" s="625">
        <x:v>2</x:v>
      </x:c>
      <x:c r="B5" s="989" t="s">
        <x:v>29</x:v>
      </x:c>
      <x:c r="C5" s="911" t="n">
        <x:f>_xlfn.XLOOKUP(H5,MANUS!$A$5:$A$24,MANUS!$F$5:$F$24,0,0)</x:f>
        <x:v>4925400</x:v>
      </x:c>
      <x:c r="D5" s="633">
        <x:v>9194200</x:v>
      </x:c>
      <x:c r="E5" s="633">
        <x:f t="shared" ca="1" si="0"/>
        <x:v>4925400</x:v>
      </x:c>
      <x:c r="F5" s="633">
        <x:f t="shared" ca="1" si="1"/>
        <x:v>0</x:v>
      </x:c>
      <x:c r="G5" s="629">
        <x:f t="shared" si="2"/>
        <x:v>-114336000</x:v>
      </x:c>
      <x:c r="H5" s="415" t="s">
        <x:v>29</x:v>
      </x:c>
      <x:c r="I5" s="415"/>
      <x:c r="J5" s="898"/>
      <x:c r="K5" s="897"/>
      <x:c r="L5" s="990"/>
      <x:c r="M5" s="479"/>
      <x:c r="N5" s="415" t="s">
        <x:v>17</x:v>
      </x:c>
      <x:c r="O5" s="415" t="s">
        <x:v>257</x:v>
      </x:c>
      <x:c r="P5" s="415">
        <x:v>1</x:v>
      </x:c>
      <x:c r="Q5" s="472" t="n">
        <x:f>SUMIF('[2]SAVDO BALANS'!$BE:$BE,O5,'[2]SAVDO BALANS'!$BF:$BF)</x:f>
        <x:v>0</x:v>
      </x:c>
      <x:c r="R5" s="472" t="n" cm="1">
        <x:f t="array" aca="1" ref="R5" ca="1">IFERROR(_xlfn.XLOOKUP($A$1,'[2]SAVDO BALANS'!$AA$11:$BB$11,_xlfn.XLOOKUP($O5,'[2]SAVDO BALANS'!$Z$12:$Z$100,'[2]SAVDO BALANS'!$AA$12:$BB$100)),0)</x:f>
        <x:v>0</x:v>
      </x:c>
      <x:c r="S5" s="415"/>
      <x:c r="T5" s="415"/>
    </x:row>
    <x:row r="6" ht="22" customHeight="1">
      <x:c r="A6" s="974">
        <x:v>3</x:v>
      </x:c>
      <x:c r="B6" s="975" t="s">
        <x:v>189</x:v>
      </x:c>
      <x:c r="C6" s="976" t="n">
        <x:f>_xlfn.XLOOKUP(H6,MANUS!$A$5:$A$24,MANUS!$F$5:$F$24,0,0)</x:f>
        <x:v>874000</x:v>
      </x:c>
      <x:c r="D6" s="977" t="n">
        <x:f>_xlfn.XLOOKUP(H6,MANUS!$A$5:$A$24,MANUS!$G$5:$G$24,0,0)</x:f>
        <x:v>874000</x:v>
      </x:c>
      <x:c r="E6" s="977">
        <x:f t="shared" ca="1" si="0"/>
        <x:v>874000</x:v>
      </x:c>
      <x:c r="F6" s="977">
        <x:f t="shared" ca="1" si="1"/>
        <x:v>0</x:v>
      </x:c>
      <x:c r="G6" s="978">
        <x:f t="shared" si="2"/>
        <x:v>-40300400</x:v>
      </x:c>
      <x:c r="H6" s="383" t="s">
        <x:v>23</x:v>
      </x:c>
      <x:c r="I6" s="383"/>
      <x:c r="J6" s="386"/>
      <x:c r="K6" s="383"/>
      <x:c r="L6" s="979"/>
      <x:c r="M6" s="480"/>
      <x:c r="N6" s="383" t="s">
        <x:v>17</x:v>
      </x:c>
      <x:c r="O6" s="383" t="s">
        <x:v>258</x:v>
      </x:c>
      <x:c r="P6" s="383">
        <x:v>1</x:v>
      </x:c>
      <x:c r="Q6" s="443" t="n">
        <x:f>SUMIF('[2]SAVDO BALANS'!$BE:$BE,O6,'[2]SAVDO BALANS'!$BF:$BF)</x:f>
        <x:v>0</x:v>
      </x:c>
      <x:c r="R6" s="443" t="n" cm="1">
        <x:f t="array" aca="1" ref="R6" ca="1">IFERROR(_xlfn.XLOOKUP($A$1,'[2]SAVDO BALANS'!$AA$11:$BB$11,_xlfn.XLOOKUP($O6,'[2]SAVDO BALANS'!$Z$12:$Z$100,'[2]SAVDO BALANS'!$AA$12:$BB$100)),0)</x:f>
        <x:v>0</x:v>
      </x:c>
      <x:c r="S6" s="383"/>
      <x:c r="T6" s="383"/>
    </x:row>
    <x:row r="7" ht="22" customHeight="1">
      <x:c r="A7" s="625">
        <x:v>4</x:v>
      </x:c>
      <x:c r="B7" s="989" t="s">
        <x:v>191</x:v>
      </x:c>
      <x:c r="C7" s="911" t="n">
        <x:f>_xlfn.XLOOKUP(H7,MANUS!$A$5:$A$24,MANUS!$F$5:$F$24,0,0)</x:f>
        <x:v>4318400</x:v>
      </x:c>
      <x:c r="D7" s="633" t="n">
        <x:f>_xlfn.XLOOKUP(H7,MANUS!$A$5:$A$24,MANUS!$G$5:$G$24,0,0)</x:f>
        <x:v>4318400</x:v>
      </x:c>
      <x:c r="E7" s="633">
        <x:f t="shared" ca="1" si="0"/>
        <x:v>4318400</x:v>
      </x:c>
      <x:c r="F7" s="633">
        <x:f t="shared" ca="1" si="1"/>
        <x:v>0</x:v>
      </x:c>
      <x:c r="G7" s="629">
        <x:f t="shared" si="2"/>
        <x:v>-85361320</x:v>
      </x:c>
      <x:c r="H7" s="415" t="s">
        <x:v>39</x:v>
      </x:c>
      <x:c r="I7" s="415"/>
      <x:c r="J7" s="898"/>
      <x:c r="K7" s="898"/>
      <x:c r="L7" s="990"/>
      <x:c r="M7" s="990"/>
      <x:c r="N7" s="415" t="s">
        <x:v>17</x:v>
      </x:c>
      <x:c r="O7" s="415" t="s">
        <x:v>259</x:v>
      </x:c>
      <x:c r="P7" s="415">
        <x:v>1</x:v>
      </x:c>
      <x:c r="Q7" s="472" t="n">
        <x:f>SUMIF('[2]SAVDO BALANS'!$BE:$BE,O7,'[2]SAVDO BALANS'!$BF:$BF)</x:f>
        <x:v>0</x:v>
      </x:c>
      <x:c r="R7" s="472" t="n" cm="1">
        <x:f t="array" aca="1" ref="R7" ca="1">IFERROR(_xlfn.XLOOKUP($A$1,'[2]SAVDO BALANS'!$AA$11:$BB$11,_xlfn.XLOOKUP($O7,'[2]SAVDO BALANS'!$Z$12:$Z$100,'[2]SAVDO BALANS'!$AA$12:$BB$100)),0)</x:f>
        <x:v>0</x:v>
      </x:c>
      <x:c r="S7" s="415"/>
      <x:c r="T7" s="415"/>
    </x:row>
    <x:row r="8" ht="22" customHeight="1">
      <x:c r="A8" s="974">
        <x:v>5</x:v>
      </x:c>
      <x:c r="B8" s="975" t="s">
        <x:v>51</x:v>
      </x:c>
      <x:c r="C8" s="976" t="n">
        <x:f>_xlfn.XLOOKUP(H8,MANUS!$A$5:$A$24,MANUS!$F$5:$F$24,0,0)</x:f>
        <x:v>279000</x:v>
      </x:c>
      <x:c r="D8" s="977" t="n">
        <x:f>_xlfn.XLOOKUP(H8,MANUS!$A$5:$A$24,MANUS!$G$5:$G$24,0,0)</x:f>
        <x:v>279000</x:v>
      </x:c>
      <x:c r="E8" s="977">
        <x:f t="shared" ca="1" si="0"/>
        <x:v>279000</x:v>
      </x:c>
      <x:c r="F8" s="977">
        <x:f t="shared" ca="1" si="1"/>
        <x:v>0</x:v>
      </x:c>
      <x:c r="G8" s="978">
        <x:f t="shared" si="2"/>
        <x:v>-28982000</x:v>
      </x:c>
      <x:c r="H8" s="383" t="s">
        <x:v>51</x:v>
      </x:c>
      <x:c r="I8" s="386"/>
      <x:c r="J8" s="386"/>
      <x:c r="K8" s="386"/>
      <x:c r="L8" s="979"/>
      <x:c r="M8" s="979"/>
      <x:c r="N8" s="383" t="s">
        <x:v>17</x:v>
      </x:c>
      <x:c r="O8" s="383" t="s">
        <x:v>260</x:v>
      </x:c>
      <x:c r="P8" s="383">
        <x:v>1</x:v>
      </x:c>
      <x:c r="Q8" s="443" t="n">
        <x:f>SUMIF('[2]SAVDO BALANS'!$BE:$BE,O8,'[2]SAVDO BALANS'!$BF:$BF)</x:f>
        <x:v>0</x:v>
      </x:c>
      <x:c r="R8" s="443" t="n" cm="1">
        <x:f t="array" aca="1" ref="R8" ca="1">IFERROR(_xlfn.XLOOKUP($A$1,'[2]SAVDO BALANS'!$AA$11:$BB$11,_xlfn.XLOOKUP($O8,'[2]SAVDO BALANS'!$Z$12:$Z$100,'[2]SAVDO BALANS'!$AA$12:$BB$100)),0)</x:f>
        <x:v>0</x:v>
      </x:c>
      <x:c r="S8" s="383"/>
      <x:c r="T8" s="383"/>
    </x:row>
    <x:row r="9" ht="22" customHeight="1">
      <x:c r="A9" s="625">
        <x:v>6</x:v>
      </x:c>
      <x:c r="B9" s="989" t="s">
        <x:v>43</x:v>
      </x:c>
      <x:c r="C9" s="911" t="n">
        <x:f>_xlfn.XLOOKUP(H9,MANUS!$A$5:$A$24,MANUS!$F$5:$F$24,0,0)</x:f>
        <x:v>1492000</x:v>
      </x:c>
      <x:c r="D9" s="633" t="n">
        <x:f>_xlfn.XLOOKUP(H9,MANUS!$A$5:$A$24,MANUS!$G$5:$G$24,0,0)</x:f>
        <x:v>1492000</x:v>
      </x:c>
      <x:c r="E9" s="633">
        <x:f t="shared" ca="1" si="0"/>
        <x:v>1492000</x:v>
      </x:c>
      <x:c r="F9" s="633">
        <x:f t="shared" ca="1" si="1"/>
        <x:v>0</x:v>
      </x:c>
      <x:c r="G9" s="629">
        <x:f t="shared" si="2"/>
        <x:v>-39299800</x:v>
      </x:c>
      <x:c r="H9" s="415" t="s">
        <x:v>43</x:v>
      </x:c>
      <x:c r="I9" s="898"/>
      <x:c r="J9" s="898" t="s">
        <x:v>244</x:v>
      </x:c>
      <x:c r="K9" s="898"/>
      <x:c r="L9" s="990"/>
      <x:c r="M9" s="990"/>
      <x:c r="N9" s="415" t="s">
        <x:v>17</x:v>
      </x:c>
      <x:c r="O9" s="415" t="s">
        <x:v>261</x:v>
      </x:c>
      <x:c r="P9" s="415">
        <x:v>1</x:v>
      </x:c>
      <x:c r="Q9" s="472" t="n">
        <x:f>SUMIF('[2]SAVDO BALANS'!$BE:$BE,O9,'[2]SAVDO BALANS'!$BF:$BF)</x:f>
        <x:v>0</x:v>
      </x:c>
      <x:c r="R9" s="472" t="n" cm="1">
        <x:f t="array" aca="1" ref="R9" ca="1">IFERROR(_xlfn.XLOOKUP($A$1,'[2]SAVDO BALANS'!$AA$11:$BB$11,_xlfn.XLOOKUP($O9,'[2]SAVDO BALANS'!$Z$12:$Z$100,'[2]SAVDO BALANS'!$AA$12:$BB$100)),0)</x:f>
        <x:v>0</x:v>
      </x:c>
      <x:c r="S9" s="415"/>
      <x:c r="T9" s="415"/>
    </x:row>
    <x:row r="10" ht="22" customHeight="1">
      <x:c r="A10" s="974">
        <x:v>7</x:v>
      </x:c>
      <x:c r="B10" s="975" t="s">
        <x:v>35</x:v>
      </x:c>
      <x:c r="C10" s="976" t="n">
        <x:f>_xlfn.XLOOKUP(H10,MANUS!$A$5:$A$24,MANUS!$F$5:$F$24,0,0)</x:f>
        <x:v>445600</x:v>
      </x:c>
      <x:c r="D10" s="977" t="n">
        <x:f>_xlfn.XLOOKUP(H10,MANUS!$A$5:$A$24,MANUS!$G$5:$G$24,0,0)</x:f>
        <x:v>0</x:v>
      </x:c>
      <x:c r="E10" s="977">
        <x:f t="shared" ca="1" si="0"/>
        <x:v>445600</x:v>
      </x:c>
      <x:c r="F10" s="977">
        <x:f t="shared" ca="1" si="1"/>
        <x:v>0</x:v>
      </x:c>
      <x:c r="G10" s="978">
        <x:f t="shared" si="2"/>
        <x:v>-12186700</x:v>
      </x:c>
      <x:c r="H10" s="383" t="s">
        <x:v>35</x:v>
      </x:c>
      <x:c r="I10" s="386"/>
      <x:c r="J10" s="386"/>
      <x:c r="K10" s="386"/>
      <x:c r="L10" s="979"/>
      <x:c r="M10" s="979"/>
      <x:c r="N10" s="383" t="s">
        <x:v>17</x:v>
      </x:c>
      <x:c r="O10" s="383" t="s">
        <x:v>262</x:v>
      </x:c>
      <x:c r="P10" s="383">
        <x:v>1</x:v>
      </x:c>
      <x:c r="Q10" s="443" t="n">
        <x:f>SUMIF('[2]SAVDO BALANS'!$BE:$BE,O10,'[2]SAVDO BALANS'!$BF:$BF)</x:f>
        <x:v>0</x:v>
      </x:c>
      <x:c r="R10" s="443" t="n" cm="1">
        <x:f t="array" aca="1" ref="R10" ca="1">IFERROR(_xlfn.XLOOKUP($A$1,'[2]SAVDO BALANS'!$AA$11:$BB$11,_xlfn.XLOOKUP($O10,'[2]SAVDO BALANS'!$Z$12:$Z$100,'[2]SAVDO BALANS'!$AA$12:$BB$100)),0)</x:f>
        <x:v>0</x:v>
      </x:c>
      <x:c r="S10" s="383"/>
      <x:c r="T10" s="383"/>
    </x:row>
    <x:row r="11" ht="22" customHeight="1">
      <x:c r="A11" s="625">
        <x:v>8</x:v>
      </x:c>
      <x:c r="B11" s="989" t="s">
        <x:v>196</x:v>
      </x:c>
      <x:c r="C11" s="911" t="n">
        <x:f>_xlfn.XLOOKUP(H11,MANUS!$A$5:$A$24,MANUS!$F$5:$F$24,0,0)</x:f>
        <x:v>0</x:v>
      </x:c>
      <x:c r="D11" s="633" t="n">
        <x:f>_xlfn.XLOOKUP(H11,MANUS!$A$5:$A$24,MANUS!$G$5:$G$24,0,0)</x:f>
        <x:v>0</x:v>
      </x:c>
      <x:c r="E11" s="633">
        <x:f t="shared" ca="1" si="0"/>
        <x:v>1496000</x:v>
      </x:c>
      <x:c r="F11" s="633">
        <x:f t="shared" ca="1" si="1"/>
        <x:v>-1496000</x:v>
      </x:c>
      <x:c r="G11" s="629">
        <x:f t="shared" si="2"/>
        <x:v>-67130060</x:v>
      </x:c>
      <x:c r="H11" s="415" t="s">
        <x:v>196</x:v>
      </x:c>
      <x:c r="I11" s="415"/>
      <x:c r="J11" s="898"/>
      <x:c r="K11" s="898"/>
      <x:c r="L11" s="990"/>
      <x:c r="M11" s="990"/>
      <x:c r="N11" s="415" t="s">
        <x:v>17</x:v>
      </x:c>
      <x:c r="O11" s="415" t="s">
        <x:v>263</x:v>
      </x:c>
      <x:c r="P11" s="415">
        <x:v>1</x:v>
      </x:c>
      <x:c r="Q11" s="472" t="n">
        <x:f>SUMIF('[2]SAVDO BALANS'!$BE:$BE,O11,'[2]SAVDO BALANS'!$BF:$BF)</x:f>
        <x:v>0</x:v>
      </x:c>
      <x:c r="R11" s="472" t="n" cm="1">
        <x:f t="array" aca="1" ref="R11" ca="1">IFERROR(_xlfn.XLOOKUP($A$1,'[2]SAVDO BALANS'!$AA$11:$BB$11,_xlfn.XLOOKUP($O11,'[2]SAVDO BALANS'!$Z$12:$Z$100,'[2]SAVDO BALANS'!$AA$12:$BB$100)),0)</x:f>
        <x:v>0</x:v>
      </x:c>
      <x:c r="S11" s="415"/>
      <x:c r="T11" s="415"/>
    </x:row>
    <x:row r="12" ht="22" customHeight="1">
      <x:c r="A12" s="974">
        <x:v>9</x:v>
      </x:c>
      <x:c r="B12" s="975" t="s">
        <x:v>25</x:v>
      </x:c>
      <x:c r="C12" s="976" t="n">
        <x:f>_xlfn.XLOOKUP(H12,MANUS!$A$5:$A$24,MANUS!$F$5:$F$24,0,0)</x:f>
        <x:v>1468000</x:v>
      </x:c>
      <x:c r="D12" s="977" t="n">
        <x:f>_xlfn.XLOOKUP(H12,MANUS!$A$5:$A$24,MANUS!$G$5:$G$24,0,0)</x:f>
        <x:v>1258000</x:v>
      </x:c>
      <x:c r="E12" s="977">
        <x:f t="shared" ca="1" si="0"/>
        <x:v>1468000</x:v>
      </x:c>
      <x:c r="F12" s="977">
        <x:f t="shared" ca="1" si="1"/>
        <x:v>0</x:v>
      </x:c>
      <x:c r="G12" s="978">
        <x:f t="shared" si="2"/>
        <x:v>-69263100</x:v>
      </x:c>
      <x:c r="H12" s="383" t="s">
        <x:v>25</x:v>
      </x:c>
      <x:c r="I12" s="383"/>
      <x:c r="J12" s="386"/>
      <x:c r="K12" s="386"/>
      <x:c r="L12" s="979"/>
      <x:c r="M12" s="979"/>
      <x:c r="N12" s="383" t="s">
        <x:v>19</x:v>
      </x:c>
      <x:c r="O12" s="383" t="s">
        <x:v>5</x:v>
      </x:c>
      <x:c r="P12" s="383">
        <x:v>2</x:v>
      </x:c>
      <x:c r="Q12" s="443" t="n">
        <x:f>SUMIF('[2]SAVDO BALANS'!$BE:$BE,O12,'[2]SAVDO BALANS'!$BF:$BF)</x:f>
        <x:v>0</x:v>
      </x:c>
      <x:c r="R12" s="443" t="n" cm="1">
        <x:f t="array" aca="1" ref="R12" ca="1">IFERROR(_xlfn.XLOOKUP($A$1,'[2]SAVDO BALANS'!$AA$11:$BB$11,_xlfn.XLOOKUP($O12,'[2]SAVDO BALANS'!$Z$12:$Z$100,'[2]SAVDO BALANS'!$AA$12:$BB$100)),0)</x:f>
        <x:v>0</x:v>
      </x:c>
      <x:c r="S12" s="383"/>
      <x:c r="T12" s="386"/>
    </x:row>
    <x:row r="13" ht="22" customHeight="1">
      <x:c r="A13" s="625">
        <x:v>10</x:v>
      </x:c>
      <x:c r="B13" s="989" t="s">
        <x:v>41</x:v>
      </x:c>
      <x:c r="C13" s="911" t="n">
        <x:f>_xlfn.XLOOKUP(H13,MANUS!$A$5:$A$24,MANUS!$F$5:$F$24,0,0)</x:f>
        <x:v>25034400</x:v>
      </x:c>
      <x:c r="D13" s="633" t="n">
        <x:f>_xlfn.XLOOKUP(H13,MANUS!$A$5:$A$24,MANUS!$G$5:$G$24,0,0)</x:f>
        <x:v>18444400</x:v>
      </x:c>
      <x:c r="E13" s="633">
        <x:f t="shared" ca="1" si="0"/>
        <x:v>25034400</x:v>
      </x:c>
      <x:c r="F13" s="633">
        <x:f t="shared" ca="1" si="1"/>
        <x:v>0</x:v>
      </x:c>
      <x:c r="G13" s="629">
        <x:f t="shared" si="2"/>
        <x:v>-84124600</x:v>
      </x:c>
      <x:c r="H13" s="415" t="s">
        <x:v>41</x:v>
      </x:c>
      <x:c r="I13" s="898"/>
      <x:c r="J13" s="898"/>
      <x:c r="K13" s="898"/>
      <x:c r="L13" s="990"/>
      <x:c r="M13" s="990"/>
      <x:c r="N13" s="415" t="s">
        <x:v>19</x:v>
      </x:c>
      <x:c r="O13" s="415" t="s">
        <x:v>10</x:v>
      </x:c>
      <x:c r="P13" s="415">
        <x:v>2</x:v>
      </x:c>
      <x:c r="Q13" s="472" t="n">
        <x:f>SUMIF('[2]SAVDO BALANS'!$BE:$BE,O13,'[2]SAVDO BALANS'!$BF:$BF)</x:f>
        <x:v>0</x:v>
      </x:c>
      <x:c r="R13" s="472" t="n" cm="1">
        <x:f t="array" aca="1" ref="R13" ca="1">IFERROR(_xlfn.XLOOKUP($A$1,'[2]SAVDO BALANS'!$AA$11:$BB$11,_xlfn.XLOOKUP($O13,'[2]SAVDO BALANS'!$Z$12:$Z$100,'[2]SAVDO BALANS'!$AA$12:$BB$100)),0)</x:f>
        <x:v>0</x:v>
      </x:c>
      <x:c r="S13" s="415"/>
      <x:c r="T13" s="898"/>
    </x:row>
    <x:row r="14" ht="22" customHeight="1">
      <x:c r="A14" s="974">
        <x:v>11</x:v>
      </x:c>
      <x:c r="B14" s="975" t="s">
        <x:v>199</x:v>
      </x:c>
      <x:c r="C14" s="976" t="n">
        <x:f>_xlfn.XLOOKUP(H14,MANUS!$A$5:$A$24,MANUS!$F$5:$F$24,0,0)</x:f>
        <x:v>2152000</x:v>
      </x:c>
      <x:c r="D14" s="977" t="n">
        <x:f>_xlfn.XLOOKUP(H14,MANUS!$A$5:$A$24,MANUS!$G$5:$G$24,0,0)</x:f>
        <x:v>2152000</x:v>
      </x:c>
      <x:c r="E14" s="977">
        <x:f t="shared" ca="1" si="0"/>
        <x:v>2152000</x:v>
      </x:c>
      <x:c r="F14" s="977">
        <x:f t="shared" ca="1" si="1"/>
        <x:v>0</x:v>
      </x:c>
      <x:c r="G14" s="978">
        <x:f t="shared" si="2"/>
        <x:v>-7564000</x:v>
      </x:c>
      <x:c r="H14" s="383" t="s">
        <x:v>27</x:v>
      </x:c>
      <x:c r="I14" s="386"/>
      <x:c r="J14" s="386"/>
      <x:c r="K14" s="386"/>
      <x:c r="L14" s="979"/>
      <x:c r="M14" s="979"/>
      <x:c r="N14" s="383" t="s">
        <x:v>19</x:v>
      </x:c>
      <x:c r="O14" s="383" t="s">
        <x:v>16</x:v>
      </x:c>
      <x:c r="P14" s="383">
        <x:v>2</x:v>
      </x:c>
      <x:c r="Q14" s="443" t="n">
        <x:f>SUMIF('[2]SAVDO BALANS'!$BE:$BE,O14,'[2]SAVDO BALANS'!$BF:$BF)</x:f>
        <x:v>0</x:v>
      </x:c>
      <x:c r="R14" s="443" t="n" cm="1">
        <x:f t="array" aca="1" ref="R14" ca="1">IFERROR(_xlfn.XLOOKUP($A$1,'[2]SAVDO BALANS'!$AA$11:$BB$11,_xlfn.XLOOKUP($O14,'[2]SAVDO BALANS'!$Z$12:$Z$100,'[2]SAVDO BALANS'!$AA$12:$BB$100)),0)</x:f>
        <x:v>0</x:v>
      </x:c>
      <x:c r="S14" s="383"/>
      <x:c r="T14" s="386"/>
    </x:row>
    <x:row r="15" ht="22" customHeight="1">
      <x:c r="A15" s="625">
        <x:v>12</x:v>
      </x:c>
      <x:c r="B15" s="989" t="s">
        <x:v>19</x:v>
      </x:c>
      <x:c r="C15" s="911" t="n">
        <x:f>_xlfn.XLOOKUP(H15,MANUS!$A$5:$A$24,MANUS!$F$5:$F$24,0,0)</x:f>
        <x:v>12335000</x:v>
      </x:c>
      <x:c r="D15" s="633" t="n">
        <x:f>_xlfn.XLOOKUP(H15,MANUS!$A$5:$A$24,MANUS!$G$5:$G$24,0,0)</x:f>
        <x:v>3486000</x:v>
      </x:c>
      <x:c r="E15" s="633">
        <x:f t="shared" ca="1" si="0"/>
        <x:v>12335000</x:v>
      </x:c>
      <x:c r="F15" s="633">
        <x:f t="shared" ca="1" si="1"/>
        <x:v>0</x:v>
      </x:c>
      <x:c r="G15" s="629">
        <x:f t="shared" si="2"/>
        <x:v>-112629437</x:v>
      </x:c>
      <x:c r="H15" s="415" t="s">
        <x:v>19</x:v>
      </x:c>
      <x:c r="I15" s="898"/>
      <x:c r="J15" s="898"/>
      <x:c r="K15" s="898"/>
      <x:c r="L15" s="990"/>
      <x:c r="M15" s="990"/>
      <x:c r="N15" s="415" t="s">
        <x:v>19</x:v>
      </x:c>
      <x:c r="O15" s="415" t="s">
        <x:v>264</x:v>
      </x:c>
      <x:c r="P15" s="415">
        <x:v>2</x:v>
      </x:c>
      <x:c r="Q15" s="472" t="n">
        <x:f>SUMIF('[2]SAVDO BALANS'!$BE:$BE,O15,'[2]SAVDO BALANS'!$BF:$BF)</x:f>
        <x:v>0</x:v>
      </x:c>
      <x:c r="R15" s="472" t="n" cm="1">
        <x:f t="array" aca="1" ref="R15" ca="1">IFERROR(_xlfn.XLOOKUP($A$1,'[2]SAVDO BALANS'!$AA$11:$BB$11,_xlfn.XLOOKUP($O15,'[2]SAVDO BALANS'!$Z$12:$Z$100,'[2]SAVDO BALANS'!$AA$12:$BB$100)),0)</x:f>
        <x:v>0</x:v>
      </x:c>
      <x:c r="S15" s="415"/>
      <x:c r="T15" s="898"/>
    </x:row>
    <x:row r="16" ht="22" customHeight="1">
      <x:c r="A16" s="974">
        <x:v>13</x:v>
      </x:c>
      <x:c r="B16" s="975" t="s">
        <x:v>31</x:v>
      </x:c>
      <x:c r="C16" s="976" t="n">
        <x:f>_xlfn.XLOOKUP(H16,MANUS!$A$5:$A$24,MANUS!$F$5:$F$24,0,0)</x:f>
        <x:v>4008000</x:v>
      </x:c>
      <x:c r="D16" s="977" t="n">
        <x:f>_xlfn.XLOOKUP(H16,MANUS!$A$5:$A$24,MANUS!$G$5:$G$24,0,0)</x:f>
        <x:v>3060000</x:v>
      </x:c>
      <x:c r="E16" s="977">
        <x:f t="shared" ca="1" si="0"/>
        <x:v>4008000</x:v>
      </x:c>
      <x:c r="F16" s="977">
        <x:f t="shared" ca="1" si="1"/>
        <x:v>0</x:v>
      </x:c>
      <x:c r="G16" s="978">
        <x:f t="shared" si="2"/>
        <x:v>-83711200</x:v>
      </x:c>
      <x:c r="H16" s="383" t="s">
        <x:v>31</x:v>
      </x:c>
      <x:c r="I16" s="386"/>
      <x:c r="J16" s="386"/>
      <x:c r="K16" s="386"/>
      <x:c r="L16" s="979"/>
      <x:c r="M16" s="979"/>
      <x:c r="N16" s="383" t="s">
        <x:v>189</x:v>
      </x:c>
      <x:c r="O16" s="383" t="s">
        <x:v>265</x:v>
      </x:c>
      <x:c r="P16" s="383">
        <x:v>4</x:v>
      </x:c>
      <x:c r="Q16" s="443" t="n">
        <x:f>SUMIF('[2]SAVDO BALANS'!$BE:$BE,O16,'[2]SAVDO BALANS'!$BF:$BF)</x:f>
        <x:v>0</x:v>
      </x:c>
      <x:c r="R16" s="443" t="n" cm="1">
        <x:f t="array" aca="1" ref="R16" ca="1">IFERROR(_xlfn.XLOOKUP($A$1,'[2]SAVDO BALANS'!$AA$11:$BB$11,_xlfn.XLOOKUP($O16,'[2]SAVDO BALANS'!$Z$12:$Z$100,'[2]SAVDO BALANS'!$AA$12:$BB$100)),0)</x:f>
        <x:v>0</x:v>
      </x:c>
      <x:c r="S16" s="383"/>
      <x:c r="T16" s="386"/>
    </x:row>
    <x:row r="17" ht="22" customHeight="1">
      <x:c r="A17" s="625">
        <x:v>14</x:v>
      </x:c>
      <x:c r="B17" s="989" t="s">
        <x:v>53</x:v>
      </x:c>
      <x:c r="C17" s="911" t="n">
        <x:f>_xlfn.XLOOKUP(H17,MANUS!$A$5:$A$24,MANUS!$F$5:$F$24,0,0)</x:f>
        <x:v>0</x:v>
      </x:c>
      <x:c r="D17" s="633" t="n">
        <x:f>_xlfn.XLOOKUP(H17,MANUS!$A$5:$A$24,MANUS!$G$5:$G$24,0,0)</x:f>
        <x:v>0</x:v>
      </x:c>
      <x:c r="E17" s="633">
        <x:f t="shared" ca="1" si="0"/>
        <x:v>0</x:v>
      </x:c>
      <x:c r="F17" s="633">
        <x:f t="shared" ca="1" si="1"/>
        <x:v>0</x:v>
      </x:c>
      <x:c r="G17" s="629">
        <x:f t="shared" si="2"/>
        <x:v>0</x:v>
      </x:c>
      <x:c r="H17" s="415" t="s">
        <x:v>53</x:v>
      </x:c>
      <x:c r="I17" s="898"/>
      <x:c r="J17" s="898"/>
      <x:c r="K17" s="898"/>
      <x:c r="L17" s="415"/>
      <x:c r="M17" s="990"/>
      <x:c r="N17" s="415" t="s">
        <x:v>189</x:v>
      </x:c>
      <x:c r="O17" s="415" t="s">
        <x:v>266</x:v>
      </x:c>
      <x:c r="P17" s="415">
        <x:v>4</x:v>
      </x:c>
      <x:c r="Q17" s="472" t="n">
        <x:f>SUMIF('[2]SAVDO BALANS'!$BE:$BE,O17,'[2]SAVDO BALANS'!$BF:$BF)</x:f>
        <x:v>0</x:v>
      </x:c>
      <x:c r="R17" s="472" t="n" cm="1">
        <x:f t="array" aca="1" ref="R17" ca="1">IFERROR(_xlfn.XLOOKUP($A$1,'[2]SAVDO BALANS'!$AA$11:$BB$11,_xlfn.XLOOKUP($O17,'[2]SAVDO BALANS'!$Z$12:$Z$100,'[2]SAVDO BALANS'!$AA$12:$BB$100)),0)</x:f>
        <x:v>0</x:v>
      </x:c>
      <x:c r="S17" s="415"/>
      <x:c r="T17" s="898"/>
    </x:row>
    <x:row r="18" ht="22" customHeight="1">
      <x:c r="A18" s="974">
        <x:v>15</x:v>
      </x:c>
      <x:c r="B18" s="975" t="s">
        <x:v>37</x:v>
      </x:c>
      <x:c r="C18" s="976" t="n">
        <x:f>_xlfn.XLOOKUP(H18,MANUS!$A$5:$A$24,MANUS!$F$5:$F$24,0,0)</x:f>
        <x:v>460000</x:v>
      </x:c>
      <x:c r="D18" s="977" t="n">
        <x:f>_xlfn.XLOOKUP(H18,MANUS!$A$5:$A$24,MANUS!$G$5:$G$24,0,0)</x:f>
        <x:v>460000</x:v>
      </x:c>
      <x:c r="E18" s="977">
        <x:f t="shared" ca="1" si="0"/>
        <x:v>460000</x:v>
      </x:c>
      <x:c r="F18" s="977">
        <x:f t="shared" ca="1" si="1"/>
        <x:v>0</x:v>
      </x:c>
      <x:c r="G18" s="978">
        <x:f t="shared" si="2"/>
        <x:v>-42116640</x:v>
      </x:c>
      <x:c r="H18" s="383" t="s">
        <x:v>37</x:v>
      </x:c>
      <x:c r="I18" s="383"/>
      <x:c r="J18" s="383"/>
      <x:c r="K18" s="383"/>
      <x:c r="L18" s="383"/>
      <x:c r="M18" s="979"/>
      <x:c r="N18" s="383" t="s">
        <x:v>189</x:v>
      </x:c>
      <x:c r="O18" s="383" t="s">
        <x:v>20</x:v>
      </x:c>
      <x:c r="P18" s="383">
        <x:v>4</x:v>
      </x:c>
      <x:c r="Q18" s="443" t="n">
        <x:f>SUMIF('[2]SAVDO BALANS'!$BE:$BE,O18,'[2]SAVDO BALANS'!$BF:$BF)</x:f>
        <x:v>0</x:v>
      </x:c>
      <x:c r="R18" s="443" t="n" cm="1">
        <x:f t="array" aca="1" ref="R18" ca="1">IFERROR(_xlfn.XLOOKUP($A$1,'[2]SAVDO BALANS'!$AA$11:$BB$11,_xlfn.XLOOKUP($O18,'[2]SAVDO BALANS'!$Z$12:$Z$100,'[2]SAVDO BALANS'!$AA$12:$BB$100)),0)</x:f>
        <x:v>0</x:v>
      </x:c>
      <x:c r="S18" s="383"/>
      <x:c r="T18" s="386"/>
    </x:row>
    <x:row r="19" ht="22" customHeight="1">
      <x:c r="A19" s="625">
        <x:v>16</x:v>
      </x:c>
      <x:c r="B19" s="989" t="s">
        <x:v>45</x:v>
      </x:c>
      <x:c r="C19" s="911" t="n">
        <x:f>_xlfn.XLOOKUP(H19,MANUS!$A$5:$A$24,MANUS!$F$5:$F$24,0,0)</x:f>
        <x:v>647000</x:v>
      </x:c>
      <x:c r="D19" s="633" t="n">
        <x:f>_xlfn.XLOOKUP(H19,MANUS!$A$5:$A$24,MANUS!$G$5:$G$24,0,0)</x:f>
        <x:v>647000</x:v>
      </x:c>
      <x:c r="E19" s="633">
        <x:f t="shared" ca="1" si="0"/>
        <x:v>647000</x:v>
      </x:c>
      <x:c r="F19" s="633">
        <x:f t="shared" ca="1" si="1"/>
        <x:v>0</x:v>
      </x:c>
      <x:c r="G19" s="629">
        <x:f t="shared" si="2"/>
        <x:v>-11404000</x:v>
      </x:c>
      <x:c r="H19" s="415" t="s">
        <x:v>45</x:v>
      </x:c>
      <x:c r="I19" s="415"/>
      <x:c r="J19" s="415"/>
      <x:c r="K19" s="415"/>
      <x:c r="L19" s="415"/>
      <x:c r="M19" s="990"/>
      <x:c r="N19" s="415" t="s">
        <x:v>189</x:v>
      </x:c>
      <x:c r="O19" s="415" t="s">
        <x:v>18</x:v>
      </x:c>
      <x:c r="P19" s="415">
        <x:v>4</x:v>
      </x:c>
      <x:c r="Q19" s="472" t="n">
        <x:f>SUMIF('[2]SAVDO BALANS'!$BE:$BE,O19,'[2]SAVDO BALANS'!$BF:$BF)</x:f>
        <x:v>0</x:v>
      </x:c>
      <x:c r="R19" s="472" t="n" cm="1">
        <x:f t="array" aca="1" ref="R19" ca="1">IFERROR(_xlfn.XLOOKUP($A$1,'[2]SAVDO BALANS'!$AA$11:$BB$11,_xlfn.XLOOKUP($O19,'[2]SAVDO BALANS'!$Z$12:$Z$100,'[2]SAVDO BALANS'!$AA$12:$BB$100)),0)</x:f>
        <x:v>0</x:v>
      </x:c>
      <x:c r="S19" s="415"/>
      <x:c r="T19" s="898"/>
    </x:row>
    <x:row r="20" ht="22" customHeight="1">
      <x:c r="A20" s="974">
        <x:v>17</x:v>
      </x:c>
      <x:c r="B20" s="975" t="s">
        <x:v>47</x:v>
      </x:c>
      <x:c r="C20" s="976" t="n">
        <x:f>_xlfn.XLOOKUP(H20,MANUS!$A$5:$A$24,MANUS!$F$5:$F$24,0,0)</x:f>
        <x:v>856000</x:v>
      </x:c>
      <x:c r="D20" s="977" t="n">
        <x:f>_xlfn.XLOOKUP(H20,MANUS!$A$5:$A$24,MANUS!$G$5:$G$24,0,0)</x:f>
        <x:v>372000</x:v>
      </x:c>
      <x:c r="E20" s="977">
        <x:f t="shared" ca="1" si="0"/>
        <x:v>856000</x:v>
      </x:c>
      <x:c r="F20" s="977">
        <x:f t="shared" ca="1" si="1"/>
        <x:v>0</x:v>
      </x:c>
      <x:c r="G20" s="978">
        <x:f t="shared" si="2"/>
        <x:v>-76073200</x:v>
      </x:c>
      <x:c r="H20" s="383" t="s">
        <x:v>47</x:v>
      </x:c>
      <x:c r="I20" s="386"/>
      <x:c r="J20" s="386"/>
      <x:c r="K20" s="383"/>
      <x:c r="L20" s="383"/>
      <x:c r="M20" s="979"/>
      <x:c r="N20" s="383" t="s">
        <x:v>29</x:v>
      </x:c>
      <x:c r="O20" s="383" t="s">
        <x:v>267</x:v>
      </x:c>
      <x:c r="P20" s="383">
        <x:v>8</x:v>
      </x:c>
      <x:c r="Q20" s="443" t="n">
        <x:f>SUMIF('[2]SAVDO BALANS'!$BE:$BE,O20,'[2]SAVDO BALANS'!$BF:$BF)</x:f>
        <x:v>0</x:v>
      </x:c>
      <x:c r="R20" s="443" t="n" cm="1">
        <x:f t="array" aca="1" ref="R20" ca="1">IFERROR(_xlfn.XLOOKUP($A$1,'[2]SAVDO BALANS'!$AA$11:$BB$11,_xlfn.XLOOKUP($O20,'[2]SAVDO BALANS'!$Z$12:$Z$100,'[2]SAVDO BALANS'!$AA$12:$BB$100)),0)</x:f>
        <x:v>0</x:v>
      </x:c>
      <x:c r="S20" s="383"/>
      <x:c r="T20" s="386"/>
    </x:row>
    <x:row r="21" ht="22" customHeight="1">
      <x:c r="A21" s="625">
        <x:v>18</x:v>
      </x:c>
      <x:c r="B21" s="989" t="s">
        <x:v>21</x:v>
      </x:c>
      <x:c r="C21" s="911" t="n">
        <x:f>_xlfn.XLOOKUP(H21,MANUS!$A$5:$A$24,MANUS!$F$5:$F$24,0,0)</x:f>
        <x:v>504000</x:v>
      </x:c>
      <x:c r="D21" s="633" t="n">
        <x:f>_xlfn.XLOOKUP(H21,MANUS!$A$5:$A$24,MANUS!$G$5:$G$24,0,0)</x:f>
        <x:v>504000</x:v>
      </x:c>
      <x:c r="E21" s="633">
        <x:f t="shared" ca="1" si="0"/>
        <x:v>504000</x:v>
      </x:c>
      <x:c r="F21" s="633">
        <x:f t="shared" ca="1" si="1"/>
        <x:v>0</x:v>
      </x:c>
      <x:c r="G21" s="629">
        <x:f t="shared" si="2"/>
        <x:v>-59931300</x:v>
      </x:c>
      <x:c r="H21" s="415" t="s">
        <x:v>21</x:v>
      </x:c>
      <x:c r="I21" s="898"/>
      <x:c r="J21" s="898"/>
      <x:c r="K21" s="898"/>
      <x:c r="L21" s="990"/>
      <x:c r="M21" s="990"/>
      <x:c r="N21" s="415" t="s">
        <x:v>29</x:v>
      </x:c>
      <x:c r="O21" s="415" t="s">
        <x:v>24</x:v>
      </x:c>
      <x:c r="P21" s="415">
        <x:v>8</x:v>
      </x:c>
      <x:c r="Q21" s="472" t="n">
        <x:f>SUMIF('[2]SAVDO BALANS'!$BE:$BE,O21,'[2]SAVDO BALANS'!$BF:$BF)</x:f>
        <x:v>0</x:v>
      </x:c>
      <x:c r="R21" s="472" t="n" cm="1">
        <x:f t="array" aca="1" ref="R21" ca="1">IFERROR(_xlfn.XLOOKUP($A$1,'[2]SAVDO BALANS'!$AA$11:$BB$11,_xlfn.XLOOKUP($O21,'[2]SAVDO BALANS'!$Z$12:$Z$100,'[2]SAVDO BALANS'!$AA$12:$BB$100)),0)</x:f>
        <x:v>0</x:v>
      </x:c>
      <x:c r="S21" s="415"/>
      <x:c r="T21" s="898"/>
    </x:row>
    <x:row r="22" ht="22" customHeight="1">
      <x:c r="A22" s="974">
        <x:v>19</x:v>
      </x:c>
      <x:c r="B22" s="975" t="s">
        <x:v>49</x:v>
      </x:c>
      <x:c r="C22" s="976" t="n">
        <x:f>_xlfn.XLOOKUP(H22,MANUS!$A$5:$A$24,MANUS!$F$5:$F$24,0,0)</x:f>
        <x:v>4444800</x:v>
      </x:c>
      <x:c r="D22" s="977" t="n">
        <x:f>_xlfn.XLOOKUP(H22,MANUS!$A$5:$A$24,MANUS!$G$5:$G$24,0,0)</x:f>
        <x:v>3296000</x:v>
      </x:c>
      <x:c r="E22" s="977">
        <x:f t="shared" ca="1" si="0"/>
        <x:v>4444800</x:v>
      </x:c>
      <x:c r="F22" s="977">
        <x:f t="shared" ca="1" si="1"/>
        <x:v>0</x:v>
      </x:c>
      <x:c r="G22" s="978">
        <x:f t="shared" si="2"/>
        <x:v>-152603752</x:v>
      </x:c>
      <x:c r="H22" s="383" t="s">
        <x:v>49</x:v>
      </x:c>
      <x:c r="I22" s="386"/>
      <x:c r="J22" s="386"/>
      <x:c r="K22" s="386"/>
      <x:c r="L22" s="383"/>
      <x:c r="M22" s="386"/>
      <x:c r="N22" s="383" t="s">
        <x:v>29</x:v>
      </x:c>
      <x:c r="O22" s="383" t="s">
        <x:v>28</x:v>
      </x:c>
      <x:c r="P22" s="383">
        <x:v>8</x:v>
      </x:c>
      <x:c r="Q22" s="443" t="n">
        <x:f>SUMIF('[2]SAVDO BALANS'!$BE:$BE,O22,'[2]SAVDO BALANS'!$BF:$BF)</x:f>
        <x:v>0</x:v>
      </x:c>
      <x:c r="R22" s="443" t="n" cm="1">
        <x:f t="array" aca="1" ref="R22" ca="1">IFERROR(_xlfn.XLOOKUP($A$1,'[2]SAVDO BALANS'!$AA$11:$BB$11,_xlfn.XLOOKUP($O22,'[2]SAVDO BALANS'!$Z$12:$Z$100,'[2]SAVDO BALANS'!$AA$12:$BB$100)),0)</x:f>
        <x:v>0</x:v>
      </x:c>
      <x:c r="S22" s="386"/>
      <x:c r="T22" s="386"/>
    </x:row>
    <x:row r="23" ht="22" customHeight="1">
      <x:c r="A23" s="625">
        <x:v>20</x:v>
      </x:c>
      <x:c r="B23" s="989" t="s">
        <x:v>33</x:v>
      </x:c>
      <x:c r="C23" s="911" t="n">
        <x:f>_xlfn.XLOOKUP(H23,MANUS!$A$5:$A$24,MANUS!$F$5:$F$24,0,0)</x:f>
        <x:v>2246800</x:v>
      </x:c>
      <x:c r="D23" s="633" t="n">
        <x:f>_xlfn.XLOOKUP(H23,MANUS!$A$5:$A$24,MANUS!$G$5:$G$24,0,0)</x:f>
        <x:v>1542800</x:v>
      </x:c>
      <x:c r="E23" s="633">
        <x:f t="shared" ca="1" si="0"/>
        <x:v>2246800</x:v>
      </x:c>
      <x:c r="F23" s="633">
        <x:f t="shared" ca="1" si="1"/>
        <x:v>0</x:v>
      </x:c>
      <x:c r="G23" s="629">
        <x:f t="shared" si="2"/>
        <x:v>-75879484</x:v>
      </x:c>
      <x:c r="H23" s="415" t="s">
        <x:v>33</x:v>
      </x:c>
      <x:c r="I23" s="898"/>
      <x:c r="J23" s="898"/>
      <x:c r="K23" s="898"/>
      <x:c r="L23" s="898"/>
      <x:c r="M23" s="898"/>
      <x:c r="N23" s="415" t="s">
        <x:v>29</x:v>
      </x:c>
      <x:c r="O23" s="415" t="s">
        <x:v>30</x:v>
      </x:c>
      <x:c r="P23" s="415">
        <x:v>8</x:v>
      </x:c>
      <x:c r="Q23" s="472" t="n">
        <x:f>SUMIF('[2]SAVDO BALANS'!$BE:$BE,O23,'[2]SAVDO BALANS'!$BF:$BF)</x:f>
        <x:v>0</x:v>
      </x:c>
      <x:c r="R23" s="472" t="n" cm="1">
        <x:f t="array" aca="1" ref="R23" ca="1">IFERROR(_xlfn.XLOOKUP($A$1,'[2]SAVDO BALANS'!$AA$11:$BB$11,_xlfn.XLOOKUP($O23,'[2]SAVDO BALANS'!$Z$12:$Z$100,'[2]SAVDO BALANS'!$AA$12:$BB$100)),0)</x:f>
        <x:v>0</x:v>
      </x:c>
      <x:c r="S23" s="898"/>
      <x:c r="T23" s="415"/>
    </x:row>
    <x:row r="24" ht="22" customHeight="1">
      <x:c r="A24" s="480"/>
      <x:c r="B24" s="383"/>
      <x:c r="C24" s="383"/>
      <x:c r="D24" s="383"/>
      <x:c r="E24" s="383"/>
      <x:c r="F24" s="383"/>
      <x:c r="G24" s="383"/>
      <x:c r="H24" s="386"/>
      <x:c r="I24" s="386"/>
      <x:c r="J24" s="386"/>
      <x:c r="K24" s="386"/>
      <x:c r="L24" s="386"/>
      <x:c r="M24" s="383"/>
      <x:c r="N24" s="383" t="s">
        <x:v>29</x:v>
      </x:c>
      <x:c r="O24" s="383" t="s">
        <x:v>268</x:v>
      </x:c>
      <x:c r="P24" s="383">
        <x:v>8</x:v>
      </x:c>
      <x:c r="Q24" s="443" t="n">
        <x:f>SUMIF('[2]SAVDO BALANS'!$BE:$BE,O24,'[2]SAVDO BALANS'!$BF:$BF)</x:f>
        <x:v>0</x:v>
      </x:c>
      <x:c r="R24" s="443" t="n" cm="1">
        <x:f t="array" aca="1" ref="R24" ca="1">IFERROR(_xlfn.XLOOKUP($A$1,'[2]SAVDO BALANS'!$AA$11:$BB$11,_xlfn.XLOOKUP($O24,'[2]SAVDO BALANS'!$Z$12:$Z$100,'[2]SAVDO BALANS'!$AA$12:$BB$100)),0)</x:f>
        <x:v>0</x:v>
      </x:c>
      <x:c r="S24" s="386"/>
      <x:c r="T24" s="383"/>
    </x:row>
    <x:row r="25" ht="22" customHeight="1">
      <x:c r="A25" s="479"/>
      <x:c r="B25" s="415"/>
      <x:c r="C25" s="415"/>
      <x:c r="D25" s="415"/>
      <x:c r="E25" s="631"/>
      <x:c r="F25" s="415"/>
      <x:c r="G25" s="415"/>
      <x:c r="H25" s="898"/>
      <x:c r="I25" s="898"/>
      <x:c r="J25" s="415"/>
      <x:c r="K25" s="898"/>
      <x:c r="L25" s="898"/>
      <x:c r="M25" s="415"/>
      <x:c r="N25" s="415" t="s">
        <x:v>29</x:v>
      </x:c>
      <x:c r="O25" s="415" t="s">
        <x:v>26</x:v>
      </x:c>
      <x:c r="P25" s="415">
        <x:v>8</x:v>
      </x:c>
      <x:c r="Q25" s="472" t="n">
        <x:f>SUMIF('[2]SAVDO BALANS'!$BE:$BE,O25,'[2]SAVDO BALANS'!$BF:$BF)</x:f>
        <x:v>0</x:v>
      </x:c>
      <x:c r="R25" s="472" t="n" cm="1">
        <x:f t="array" aca="1" ref="R25" ca="1">IFERROR(_xlfn.XLOOKUP($A$1,'[2]SAVDO BALANS'!$AA$11:$BB$11,_xlfn.XLOOKUP($O25,'[2]SAVDO BALANS'!$Z$12:$Z$100,'[2]SAVDO BALANS'!$AA$12:$BB$100)),0)</x:f>
        <x:v>0</x:v>
      </x:c>
      <x:c r="S25" s="415"/>
      <x:c r="T25" s="415"/>
    </x:row>
    <x:row r="26" ht="22" customHeight="1">
      <x:c r="A26" s="480"/>
      <x:c r="B26" s="383"/>
      <x:c r="C26" s="383"/>
      <x:c r="D26" s="383"/>
      <x:c r="E26" s="383"/>
      <x:c r="F26" s="383"/>
      <x:c r="G26" s="383"/>
      <x:c r="H26" s="386"/>
      <x:c r="I26" s="383"/>
      <x:c r="J26" s="383"/>
      <x:c r="K26" s="383"/>
      <x:c r="L26" s="386"/>
      <x:c r="M26" s="383"/>
      <x:c r="N26" s="383" t="s">
        <x:v>33</x:v>
      </x:c>
      <x:c r="O26" s="383" t="s">
        <x:v>32</x:v>
      </x:c>
      <x:c r="P26" s="383">
        <x:v>10</x:v>
      </x:c>
      <x:c r="Q26" s="443" t="n">
        <x:f>SUMIF('[2]SAVDO BALANS'!$BE:$BE,O26,'[2]SAVDO BALANS'!$BF:$BF)</x:f>
        <x:v>0</x:v>
      </x:c>
      <x:c r="R26" s="443" t="n" cm="1">
        <x:f t="array" aca="1" ref="R26" ca="1">IFERROR(_xlfn.XLOOKUP($A$1,'[2]SAVDO BALANS'!$AA$11:$BB$11,_xlfn.XLOOKUP($O26,'[2]SAVDO BALANS'!$Z$12:$Z$100,'[2]SAVDO BALANS'!$AA$12:$BB$100)),0)</x:f>
        <x:v>0</x:v>
      </x:c>
      <x:c r="S26" s="383"/>
      <x:c r="T26" s="383"/>
    </x:row>
    <x:row r="27" ht="22" customHeight="1">
      <x:c r="A27" s="479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 t="s">
        <x:v>33</x:v>
      </x:c>
      <x:c r="O27" s="415" t="s">
        <x:v>34</x:v>
      </x:c>
      <x:c r="P27" s="415">
        <x:v>10</x:v>
      </x:c>
      <x:c r="Q27" s="472" t="n">
        <x:f>SUMIF('[2]SAVDO BALANS'!$BE:$BE,O27,'[2]SAVDO BALANS'!$BF:$BF)</x:f>
        <x:v>0</x:v>
      </x:c>
      <x:c r="R27" s="472" t="n" cm="1">
        <x:f t="array" aca="1" ref="R27" ca="1">IFERROR(_xlfn.XLOOKUP($A$1,'[2]SAVDO BALANS'!$AA$11:$BB$11,_xlfn.XLOOKUP($O27,'[2]SAVDO BALANS'!$Z$12:$Z$100,'[2]SAVDO BALANS'!$AA$12:$BB$100)),0)</x:f>
        <x:v>0</x:v>
      </x:c>
      <x:c r="S27" s="415"/>
      <x:c r="T27" s="415"/>
    </x:row>
    <x:row r="28" ht="22" customHeight="1">
      <x:c r="A28" s="480"/>
      <x:c r="B28" s="383"/>
      <x:c r="C28" s="383"/>
      <x:c r="D28" s="383"/>
      <x:c r="E28" s="383"/>
      <x:c r="F28" s="383"/>
      <x:c r="G28" s="383"/>
      <x:c r="H28" s="383"/>
      <x:c r="I28" s="383"/>
      <x:c r="J28" s="383"/>
      <x:c r="K28" s="383"/>
      <x:c r="L28" s="383"/>
      <x:c r="M28" s="383"/>
      <x:c r="N28" s="383" t="s">
        <x:v>33</x:v>
      </x:c>
      <x:c r="O28" s="383" t="s">
        <x:v>36</x:v>
      </x:c>
      <x:c r="P28" s="383">
        <x:v>10</x:v>
      </x:c>
      <x:c r="Q28" s="443" t="n">
        <x:f>SUMIF('[2]SAVDO BALANS'!$BE:$BE,O28,'[2]SAVDO BALANS'!$BF:$BF)</x:f>
        <x:v>0</x:v>
      </x:c>
      <x:c r="R28" s="443" t="n" cm="1">
        <x:f t="array" aca="1" ref="R28" ca="1">IFERROR(_xlfn.XLOOKUP($A$1,'[2]SAVDO BALANS'!$AA$11:$BB$11,_xlfn.XLOOKUP($O28,'[2]SAVDO BALANS'!$Z$12:$Z$100,'[2]SAVDO BALANS'!$AA$12:$BB$100)),0)</x:f>
        <x:v>0</x:v>
      </x:c>
      <x:c r="S28" s="383"/>
      <x:c r="T28" s="383"/>
    </x:row>
    <x:row r="29" ht="22" customHeight="1">
      <x:c r="A29" s="479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 t="s">
        <x:v>33</x:v>
      </x:c>
      <x:c r="O29" s="415" t="s">
        <x:v>38</x:v>
      </x:c>
      <x:c r="P29" s="415">
        <x:v>10</x:v>
      </x:c>
      <x:c r="Q29" s="472" t="n">
        <x:f>SUMIF('[2]SAVDO BALANS'!$BE:$BE,O29,'[2]SAVDO BALANS'!$BF:$BF)</x:f>
        <x:v>0</x:v>
      </x:c>
      <x:c r="R29" s="472" t="n" cm="1">
        <x:f t="array" aca="1" ref="R29" ca="1">IFERROR(_xlfn.XLOOKUP($A$1,'[2]SAVDO BALANS'!$AA$11:$BB$11,_xlfn.XLOOKUP($O29,'[2]SAVDO BALANS'!$Z$12:$Z$100,'[2]SAVDO BALANS'!$AA$12:$BB$100)),0)</x:f>
        <x:v>0</x:v>
      </x:c>
      <x:c r="S29" s="415"/>
      <x:c r="T29" s="415"/>
    </x:row>
    <x:row r="30" ht="22" customHeight="1">
      <x:c r="A30" s="480"/>
      <x:c r="B30" s="383"/>
      <x:c r="C30" s="383"/>
      <x:c r="D30" s="383"/>
      <x:c r="E30" s="383"/>
      <x:c r="F30" s="383"/>
      <x:c r="G30" s="383"/>
      <x:c r="H30" s="383"/>
      <x:c r="I30" s="383"/>
      <x:c r="J30" s="383"/>
      <x:c r="K30" s="383"/>
      <x:c r="L30" s="383"/>
      <x:c r="M30" s="383"/>
      <x:c r="N30" s="383" t="s">
        <x:v>31</x:v>
      </x:c>
      <x:c r="O30" s="383" t="s">
        <x:v>269</x:v>
      </x:c>
      <x:c r="P30" s="383">
        <x:v>9</x:v>
      </x:c>
      <x:c r="Q30" s="443" t="n">
        <x:f>SUMIF('[2]SAVDO BALANS'!$BE:$BE,O30,'[2]SAVDO BALANS'!$BF:$BF)</x:f>
        <x:v>0</x:v>
      </x:c>
      <x:c r="R30" s="443" t="n" cm="1">
        <x:f t="array" aca="1" ref="R30" ca="1">IFERROR(_xlfn.XLOOKUP($A$1,'[2]SAVDO BALANS'!$AA$11:$BB$11,_xlfn.XLOOKUP($O30,'[2]SAVDO BALANS'!$Z$12:$Z$100,'[2]SAVDO BALANS'!$AA$12:$BB$100)),0)</x:f>
        <x:v>0</x:v>
      </x:c>
      <x:c r="S30" s="383"/>
      <x:c r="T30" s="383"/>
    </x:row>
    <x:row r="31" ht="22" customHeight="1">
      <x:c r="A31" s="479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 t="s">
        <x:v>31</x:v>
      </x:c>
      <x:c r="O31" s="415" t="s">
        <x:v>40</x:v>
      </x:c>
      <x:c r="P31" s="415">
        <x:v>9</x:v>
      </x:c>
      <x:c r="Q31" s="472" t="n">
        <x:f>SUMIF('[2]SAVDO BALANS'!$BE:$BE,O31,'[2]SAVDO BALANS'!$BF:$BF)</x:f>
        <x:v>0</x:v>
      </x:c>
      <x:c r="R31" s="472" t="n" cm="1">
        <x:f t="array" aca="1" ref="R31" ca="1">IFERROR(_xlfn.XLOOKUP($A$1,'[2]SAVDO BALANS'!$AA$11:$BB$11,_xlfn.XLOOKUP($O31,'[2]SAVDO BALANS'!$Z$12:$Z$100,'[2]SAVDO BALANS'!$AA$12:$BB$100)),0)</x:f>
        <x:v>0</x:v>
      </x:c>
      <x:c r="S31" s="415"/>
      <x:c r="T31" s="415"/>
    </x:row>
    <x:row r="32" ht="22" customHeight="1">
      <x:c r="A32" s="480"/>
      <x:c r="B32" s="383"/>
      <x:c r="C32" s="383"/>
      <x:c r="D32" s="383"/>
      <x:c r="E32" s="383"/>
      <x:c r="F32" s="383"/>
      <x:c r="G32" s="383"/>
      <x:c r="H32" s="383"/>
      <x:c r="I32" s="383"/>
      <x:c r="J32" s="383"/>
      <x:c r="K32" s="383"/>
      <x:c r="L32" s="383"/>
      <x:c r="M32" s="383"/>
      <x:c r="N32" s="383" t="s">
        <x:v>31</x:v>
      </x:c>
      <x:c r="O32" s="383" t="s">
        <x:v>42</x:v>
      </x:c>
      <x:c r="P32" s="383">
        <x:v>9</x:v>
      </x:c>
      <x:c r="Q32" s="443" t="n">
        <x:f>SUMIF('[2]SAVDO BALANS'!$BE:$BE,O32,'[2]SAVDO BALANS'!$BF:$BF)</x:f>
        <x:v>0</x:v>
      </x:c>
      <x:c r="R32" s="443" t="n" cm="1">
        <x:f t="array" aca="1" ref="R32" ca="1">IFERROR(_xlfn.XLOOKUP($A$1,'[2]SAVDO BALANS'!$AA$11:$BB$11,_xlfn.XLOOKUP($O32,'[2]SAVDO BALANS'!$Z$12:$Z$100,'[2]SAVDO BALANS'!$AA$12:$BB$100)),0)</x:f>
        <x:v>0</x:v>
      </x:c>
      <x:c r="S32" s="383"/>
      <x:c r="T32" s="383"/>
    </x:row>
    <x:row r="33" ht="22" customHeight="1">
      <x:c r="A33" s="479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 t="s">
        <x:v>53</x:v>
      </x:c>
      <x:c r="O33" s="415" t="s">
        <x:v>270</x:v>
      </x:c>
      <x:c r="P33" s="415">
        <x:v>20</x:v>
      </x:c>
      <x:c r="Q33" s="472" t="n">
        <x:f>SUMIF('[2]SAVDO BALANS'!$BE:$BE,O33,'[2]SAVDO BALANS'!$BF:$BF)</x:f>
        <x:v>0</x:v>
      </x:c>
      <x:c r="R33" s="472" t="n" cm="1">
        <x:f t="array" aca="1" ref="R33" ca="1">IFERROR(_xlfn.XLOOKUP($A$1,'[2]SAVDO BALANS'!$AA$11:$BB$11,_xlfn.XLOOKUP($O33,'[2]SAVDO BALANS'!$Z$12:$Z$100,'[2]SAVDO BALANS'!$AA$12:$BB$100)),0)</x:f>
        <x:v>0</x:v>
      </x:c>
      <x:c r="S33" s="415"/>
      <x:c r="T33" s="415"/>
    </x:row>
    <x:row r="34" ht="22" customHeight="1">
      <x:c r="A34" s="480"/>
      <x:c r="B34" s="383"/>
      <x:c r="C34" s="383"/>
      <x:c r="D34" s="383"/>
      <x:c r="E34" s="383"/>
      <x:c r="F34" s="383"/>
      <x:c r="G34" s="383"/>
      <x:c r="H34" s="383"/>
      <x:c r="I34" s="383"/>
      <x:c r="J34" s="383"/>
      <x:c r="K34" s="383"/>
      <x:c r="L34" s="383"/>
      <x:c r="M34" s="383"/>
      <x:c r="N34" s="383" t="s">
        <x:v>31</x:v>
      </x:c>
      <x:c r="O34" s="383" t="s">
        <x:v>44</x:v>
      </x:c>
      <x:c r="P34" s="383">
        <x:v>9</x:v>
      </x:c>
      <x:c r="Q34" s="443" t="n">
        <x:f>SUMIF('[2]SAVDO BALANS'!$BE:$BE,O34,'[2]SAVDO BALANS'!$BF:$BF)</x:f>
        <x:v>0</x:v>
      </x:c>
      <x:c r="R34" s="443" t="n" cm="1">
        <x:f t="array" aca="1" ref="R34" ca="1">IFERROR(_xlfn.XLOOKUP($A$1,'[2]SAVDO BALANS'!$AA$11:$BB$11,_xlfn.XLOOKUP($O34,'[2]SAVDO BALANS'!$Z$12:$Z$100,'[2]SAVDO BALANS'!$AA$12:$BB$100)),0)</x:f>
        <x:v>0</x:v>
      </x:c>
      <x:c r="S34" s="383"/>
      <x:c r="T34" s="383"/>
    </x:row>
    <x:row r="35" ht="22" customHeight="1">
      <x:c r="A35" s="479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 t="s">
        <x:v>191</x:v>
      </x:c>
      <x:c r="O35" s="415" t="s">
        <x:v>271</x:v>
      </x:c>
      <x:c r="P35" s="415">
        <x:v>13</x:v>
      </x:c>
      <x:c r="Q35" s="472" t="n">
        <x:f>SUMIF('[2]SAVDO BALANS'!$BE:$BE,O35,'[2]SAVDO BALANS'!$BF:$BF)</x:f>
        <x:v>0</x:v>
      </x:c>
      <x:c r="R35" s="472" t="n" cm="1">
        <x:f t="array" aca="1" ref="R35" ca="1">IFERROR(_xlfn.XLOOKUP($A$1,'[2]SAVDO BALANS'!$AA$11:$BB$11,_xlfn.XLOOKUP($O35,'[2]SAVDO BALANS'!$Z$12:$Z$100,'[2]SAVDO BALANS'!$AA$12:$BB$100)),0)</x:f>
        <x:v>0</x:v>
      </x:c>
      <x:c r="S35" s="415"/>
      <x:c r="T35" s="415"/>
    </x:row>
    <x:row r="36" ht="22" customHeight="1">
      <x:c r="A36" s="480"/>
      <x:c r="B36" s="383"/>
      <x:c r="C36" s="383"/>
      <x:c r="D36" s="383"/>
      <x:c r="E36" s="383"/>
      <x:c r="F36" s="383"/>
      <x:c r="G36" s="383"/>
      <x:c r="H36" s="383"/>
      <x:c r="I36" s="383"/>
      <x:c r="J36" s="383"/>
      <x:c r="K36" s="383"/>
      <x:c r="L36" s="383"/>
      <x:c r="M36" s="383"/>
      <x:c r="N36" s="383" t="s">
        <x:v>191</x:v>
      </x:c>
      <x:c r="O36" s="383" t="s">
        <x:v>272</x:v>
      </x:c>
      <x:c r="P36" s="383">
        <x:v>13</x:v>
      </x:c>
      <x:c r="Q36" s="443" t="n">
        <x:f>SUMIF('[2]SAVDO BALANS'!$BE:$BE,O36,'[2]SAVDO BALANS'!$BF:$BF)</x:f>
        <x:v>0</x:v>
      </x:c>
      <x:c r="R36" s="443" t="n" cm="1">
        <x:f t="array" aca="1" ref="R36" ca="1">IFERROR(_xlfn.XLOOKUP($A$1,'[2]SAVDO BALANS'!$AA$11:$BB$11,_xlfn.XLOOKUP($O36,'[2]SAVDO BALANS'!$Z$12:$Z$100,'[2]SAVDO BALANS'!$AA$12:$BB$100)),0)</x:f>
        <x:v>0</x:v>
      </x:c>
      <x:c r="S36" s="383"/>
      <x:c r="T36" s="383"/>
    </x:row>
    <x:row r="37" ht="22" customHeight="1">
      <x:c r="A37" s="479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 t="s">
        <x:v>191</x:v>
      </x:c>
      <x:c r="O37" s="415" t="s">
        <x:v>273</x:v>
      </x:c>
      <x:c r="P37" s="415">
        <x:v>13</x:v>
      </x:c>
      <x:c r="Q37" s="472" t="n">
        <x:f>SUMIF('[2]SAVDO BALANS'!$BE:$BE,O37,'[2]SAVDO BALANS'!$BF:$BF)</x:f>
        <x:v>0</x:v>
      </x:c>
      <x:c r="R37" s="472" t="n" cm="1">
        <x:f t="array" aca="1" ref="R37" ca="1">IFERROR(_xlfn.XLOOKUP($A$1,'[2]SAVDO BALANS'!$AA$11:$BB$11,_xlfn.XLOOKUP($O37,'[2]SAVDO BALANS'!$Z$12:$Z$100,'[2]SAVDO BALANS'!$AA$12:$BB$100)),0)</x:f>
        <x:v>0</x:v>
      </x:c>
      <x:c r="S37" s="415"/>
      <x:c r="T37" s="415"/>
    </x:row>
    <x:row r="38" ht="22" customHeight="1">
      <x:c r="A38" s="480"/>
      <x:c r="B38" s="383"/>
      <x:c r="C38" s="383"/>
      <x:c r="D38" s="383"/>
      <x:c r="E38" s="383"/>
      <x:c r="F38" s="383"/>
      <x:c r="G38" s="383"/>
      <x:c r="H38" s="383"/>
      <x:c r="I38" s="383"/>
      <x:c r="J38" s="383"/>
      <x:c r="K38" s="383"/>
      <x:c r="L38" s="383"/>
      <x:c r="M38" s="383"/>
      <x:c r="N38" s="383" t="s">
        <x:v>191</x:v>
      </x:c>
      <x:c r="O38" s="383" t="s">
        <x:v>274</x:v>
      </x:c>
      <x:c r="P38" s="383">
        <x:v>13</x:v>
      </x:c>
      <x:c r="Q38" s="443" t="n">
        <x:f>SUMIF('[2]SAVDO BALANS'!$BE:$BE,O38,'[2]SAVDO BALANS'!$BF:$BF)</x:f>
        <x:v>0</x:v>
      </x:c>
      <x:c r="R38" s="443" t="n" cm="1">
        <x:f t="array" aca="1" ref="R38" ca="1">IFERROR(_xlfn.XLOOKUP($A$1,'[2]SAVDO BALANS'!$AA$11:$BB$11,_xlfn.XLOOKUP($O38,'[2]SAVDO BALANS'!$Z$12:$Z$100,'[2]SAVDO BALANS'!$AA$12:$BB$100)),0)</x:f>
        <x:v>0</x:v>
      </x:c>
      <x:c r="S38" s="383"/>
      <x:c r="T38" s="383"/>
    </x:row>
    <x:row r="39" ht="22" customHeight="1">
      <x:c r="A39" s="479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 t="s">
        <x:v>191</x:v>
      </x:c>
      <x:c r="O39" s="415" t="s">
        <x:v>275</x:v>
      </x:c>
      <x:c r="P39" s="415">
        <x:v>13</x:v>
      </x:c>
      <x:c r="Q39" s="472" t="n">
        <x:f>SUMIF('[2]SAVDO BALANS'!$BE:$BE,O39,'[2]SAVDO BALANS'!$BF:$BF)</x:f>
        <x:v>0</x:v>
      </x:c>
      <x:c r="R39" s="472" t="n" cm="1">
        <x:f t="array" aca="1" ref="R39" ca="1">IFERROR(_xlfn.XLOOKUP($A$1,'[2]SAVDO BALANS'!$AA$11:$BB$11,_xlfn.XLOOKUP($O39,'[2]SAVDO BALANS'!$Z$12:$Z$100,'[2]SAVDO BALANS'!$AA$12:$BB$100)),0)</x:f>
        <x:v>0</x:v>
      </x:c>
      <x:c r="S39" s="415"/>
      <x:c r="T39" s="415"/>
    </x:row>
    <x:row r="40" ht="22" customHeight="1">
      <x:c r="A40" s="992"/>
      <x:c r="B40" s="383"/>
      <x:c r="C40" s="383"/>
      <x:c r="D40" s="383"/>
      <x:c r="E40" s="383"/>
      <x:c r="F40" s="383"/>
      <x:c r="G40" s="383"/>
      <x:c r="H40" s="383"/>
      <x:c r="I40" s="383"/>
      <x:c r="J40" s="383"/>
      <x:c r="K40" s="383"/>
      <x:c r="L40" s="383"/>
      <x:c r="M40" s="383"/>
      <x:c r="N40" s="383" t="s">
        <x:v>191</x:v>
      </x:c>
      <x:c r="O40" s="383" t="s">
        <x:v>46</x:v>
      </x:c>
      <x:c r="P40" s="383">
        <x:v>13</x:v>
      </x:c>
      <x:c r="Q40" s="443" t="n">
        <x:f>SUMIF('[2]SAVDO BALANS'!$BE:$BE,O40,'[2]SAVDO BALANS'!$BF:$BF)</x:f>
        <x:v>0</x:v>
      </x:c>
      <x:c r="R40" s="443" t="n" cm="1">
        <x:f t="array" aca="1" ref="R40" ca="1">IFERROR(_xlfn.XLOOKUP($A$1,'[2]SAVDO BALANS'!$AA$11:$BB$11,_xlfn.XLOOKUP($O40,'[2]SAVDO BALANS'!$Z$12:$Z$100,'[2]SAVDO BALANS'!$AA$12:$BB$100)),0)</x:f>
        <x:v>0</x:v>
      </x:c>
      <x:c r="S40" s="383"/>
      <x:c r="T40" s="383"/>
    </x:row>
    <x:row r="41" ht="22" customHeight="1">
      <x:c r="A41" s="640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 t="s">
        <x:v>37</x:v>
      </x:c>
      <x:c r="O41" s="415" t="s">
        <x:v>276</x:v>
      </x:c>
      <x:c r="P41" s="415">
        <x:v>12</x:v>
      </x:c>
      <x:c r="Q41" s="472" t="n">
        <x:f>SUMIF('[2]SAVDO BALANS'!$BE:$BE,O41,'[2]SAVDO BALANS'!$BF:$BF)</x:f>
        <x:v>0</x:v>
      </x:c>
      <x:c r="R41" s="472" t="n" cm="1">
        <x:f t="array" aca="1" ref="R41" ca="1">IFERROR(_xlfn.XLOOKUP($A$1,'[2]SAVDO BALANS'!$AA$11:$BB$11,_xlfn.XLOOKUP($O41,'[2]SAVDO BALANS'!$Z$12:$Z$100,'[2]SAVDO BALANS'!$AA$12:$BB$100)),0)</x:f>
        <x:v>0</x:v>
      </x:c>
      <x:c r="S41" s="415"/>
      <x:c r="T41" s="415"/>
    </x:row>
    <x:row r="42" ht="22" customHeight="1">
      <x:c r="A42" s="480"/>
      <x:c r="B42" s="383"/>
      <x:c r="C42" s="383"/>
      <x:c r="D42" s="383"/>
      <x:c r="E42" s="383"/>
      <x:c r="F42" s="383"/>
      <x:c r="G42" s="383"/>
      <x:c r="H42" s="383"/>
      <x:c r="I42" s="383"/>
      <x:c r="J42" s="383"/>
      <x:c r="K42" s="383"/>
      <x:c r="L42" s="383"/>
      <x:c r="M42" s="383"/>
      <x:c r="N42" s="383" t="s">
        <x:v>37</x:v>
      </x:c>
      <x:c r="O42" s="383" t="s">
        <x:v>277</x:v>
      </x:c>
      <x:c r="P42" s="383">
        <x:v>12</x:v>
      </x:c>
      <x:c r="Q42" s="443" t="n">
        <x:f>SUMIF('[2]SAVDO BALANS'!$BE:$BE,O42,'[2]SAVDO BALANS'!$BF:$BF)</x:f>
        <x:v>0</x:v>
      </x:c>
      <x:c r="R42" s="443" t="n" cm="1">
        <x:f t="array" aca="1" ref="R42" ca="1">IFERROR(_xlfn.XLOOKUP($A$1,'[2]SAVDO BALANS'!$AA$11:$BB$11,_xlfn.XLOOKUP($O42,'[2]SAVDO BALANS'!$Z$12:$Z$100,'[2]SAVDO BALANS'!$AA$12:$BB$100)),0)</x:f>
        <x:v>0</x:v>
      </x:c>
      <x:c r="S42" s="383"/>
      <x:c r="T42" s="383"/>
    </x:row>
    <x:row r="43" ht="22" customHeight="1">
      <x:c r="A43" s="479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 t="s">
        <x:v>37</x:v>
      </x:c>
      <x:c r="O43" s="415" t="s">
        <x:v>48</x:v>
      </x:c>
      <x:c r="P43" s="415">
        <x:v>12</x:v>
      </x:c>
      <x:c r="Q43" s="472" t="n">
        <x:f>SUMIF('[2]SAVDO BALANS'!$BE:$BE,O43,'[2]SAVDO BALANS'!$BF:$BF)</x:f>
        <x:v>0</x:v>
      </x:c>
      <x:c r="R43" s="472" t="n" cm="1">
        <x:f t="array" aca="1" ref="R43" ca="1">IFERROR(_xlfn.XLOOKUP($A$1,'[2]SAVDO BALANS'!$AA$11:$BB$11,_xlfn.XLOOKUP($O43,'[2]SAVDO BALANS'!$Z$12:$Z$100,'[2]SAVDO BALANS'!$AA$12:$BB$100)),0)</x:f>
        <x:v>0</x:v>
      </x:c>
      <x:c r="S43" s="415"/>
      <x:c r="T43" s="415"/>
    </x:row>
    <x:row r="44" ht="22" customHeight="1">
      <x:c r="A44" s="480"/>
      <x:c r="B44" s="383"/>
      <x:c r="C44" s="383"/>
      <x:c r="D44" s="383"/>
      <x:c r="E44" s="383"/>
      <x:c r="F44" s="383"/>
      <x:c r="G44" s="383"/>
      <x:c r="H44" s="383"/>
      <x:c r="I44" s="383"/>
      <x:c r="J44" s="383"/>
      <x:c r="K44" s="383"/>
      <x:c r="L44" s="383"/>
      <x:c r="M44" s="383"/>
      <x:c r="N44" s="383" t="s">
        <x:v>45</x:v>
      </x:c>
      <x:c r="O44" s="383" t="s">
        <x:v>50</x:v>
      </x:c>
      <x:c r="P44" s="383">
        <x:v>16</x:v>
      </x:c>
      <x:c r="Q44" s="443" t="n">
        <x:f>SUMIF('[2]SAVDO BALANS'!$BE:$BE,O44,'[2]SAVDO BALANS'!$BF:$BF)</x:f>
        <x:v>0</x:v>
      </x:c>
      <x:c r="R44" s="443" t="n" cm="1">
        <x:f t="array" aca="1" ref="R44" ca="1">IFERROR(_xlfn.XLOOKUP($A$1,'[2]SAVDO BALANS'!$AA$11:$BB$11,_xlfn.XLOOKUP($O44,'[2]SAVDO BALANS'!$Z$12:$Z$100,'[2]SAVDO BALANS'!$AA$12:$BB$100)),0)</x:f>
        <x:v>0</x:v>
      </x:c>
      <x:c r="S44" s="383"/>
      <x:c r="T44" s="383"/>
    </x:row>
    <x:row r="45" ht="22" customHeight="1">
      <x:c r="A45" s="479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 t="s">
        <x:v>41</x:v>
      </x:c>
      <x:c r="O45" s="415" t="s">
        <x:v>52</x:v>
      </x:c>
      <x:c r="P45" s="415">
        <x:v>14</x:v>
      </x:c>
      <x:c r="Q45" s="472" t="n">
        <x:f>SUMIF('[2]SAVDO BALANS'!$BE:$BE,O45,'[2]SAVDO BALANS'!$BF:$BF)</x:f>
        <x:v>0</x:v>
      </x:c>
      <x:c r="R45" s="472" t="n" cm="1">
        <x:f t="array" aca="1" ref="R45" ca="1">IFERROR(_xlfn.XLOOKUP($A$1,'[2]SAVDO BALANS'!$AA$11:$BB$11,_xlfn.XLOOKUP($O45,'[2]SAVDO BALANS'!$Z$12:$Z$100,'[2]SAVDO BALANS'!$AA$12:$BB$100)),0)</x:f>
        <x:v>0</x:v>
      </x:c>
      <x:c r="S45" s="415"/>
      <x:c r="T45" s="415"/>
    </x:row>
    <x:row r="46" ht="22" customHeight="1">
      <x:c r="A46" s="480"/>
      <x:c r="B46" s="383"/>
      <x:c r="C46" s="383"/>
      <x:c r="D46" s="383"/>
      <x:c r="E46" s="383"/>
      <x:c r="F46" s="383"/>
      <x:c r="G46" s="383"/>
      <x:c r="H46" s="383"/>
      <x:c r="I46" s="383"/>
      <x:c r="J46" s="383"/>
      <x:c r="K46" s="383"/>
      <x:c r="L46" s="383"/>
      <x:c r="M46" s="383"/>
      <x:c r="N46" s="383" t="s">
        <x:v>41</x:v>
      </x:c>
      <x:c r="O46" s="383" t="s">
        <x:v>54</x:v>
      </x:c>
      <x:c r="P46" s="383">
        <x:v>14</x:v>
      </x:c>
      <x:c r="Q46" s="443" t="n">
        <x:f>SUMIF('[2]SAVDO BALANS'!$BE:$BE,O46,'[2]SAVDO BALANS'!$BF:$BF)</x:f>
        <x:v>0</x:v>
      </x:c>
      <x:c r="R46" s="443" t="n" cm="1">
        <x:f t="array" aca="1" ref="R46" ca="1">IFERROR(_xlfn.XLOOKUP($A$1,'[2]SAVDO BALANS'!$AA$11:$BB$11,_xlfn.XLOOKUP($O46,'[2]SAVDO BALANS'!$Z$12:$Z$100,'[2]SAVDO BALANS'!$AA$12:$BB$100)),0)</x:f>
        <x:v>0</x:v>
      </x:c>
      <x:c r="S46" s="383"/>
      <x:c r="T46" s="383"/>
    </x:row>
    <x:row r="47" ht="22" customHeight="1">
      <x:c r="A47" s="479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 t="s">
        <x:v>199</x:v>
      </x:c>
      <x:c r="O47" s="415" t="s">
        <x:v>56</x:v>
      </x:c>
      <x:c r="P47" s="415">
        <x:v>7</x:v>
      </x:c>
      <x:c r="Q47" s="472" t="n">
        <x:f>SUMIF('[2]SAVDO BALANS'!$BE:$BE,O47,'[2]SAVDO BALANS'!$BF:$BF)</x:f>
        <x:v>0</x:v>
      </x:c>
      <x:c r="R47" s="472" t="n" cm="1">
        <x:f t="array" aca="1" ref="R47" ca="1">IFERROR(_xlfn.XLOOKUP($A$1,'[2]SAVDO BALANS'!$AA$11:$BB$11,_xlfn.XLOOKUP($O47,'[2]SAVDO BALANS'!$Z$12:$Z$100,'[2]SAVDO BALANS'!$AA$12:$BB$100)),0)</x:f>
        <x:v>0</x:v>
      </x:c>
      <x:c r="S47" s="415"/>
      <x:c r="T47" s="415"/>
    </x:row>
    <x:row r="48" ht="22" customHeight="1">
      <x:c r="A48" s="480"/>
      <x:c r="B48" s="383"/>
      <x:c r="C48" s="383"/>
      <x:c r="D48" s="383"/>
      <x:c r="E48" s="383"/>
      <x:c r="F48" s="383"/>
      <x:c r="G48" s="383"/>
      <x:c r="H48" s="383"/>
      <x:c r="I48" s="383"/>
      <x:c r="J48" s="383"/>
      <x:c r="K48" s="383"/>
      <x:c r="L48" s="383"/>
      <x:c r="M48" s="383"/>
      <x:c r="N48" s="383" t="s">
        <x:v>41</x:v>
      </x:c>
      <x:c r="O48" s="383" t="s">
        <x:v>57</x:v>
      </x:c>
      <x:c r="P48" s="383">
        <x:v>14</x:v>
      </x:c>
      <x:c r="Q48" s="443" t="n">
        <x:f>SUMIF('[2]SAVDO BALANS'!$BE:$BE,O48,'[2]SAVDO BALANS'!$BF:$BF)</x:f>
        <x:v>0</x:v>
      </x:c>
      <x:c r="R48" s="443" t="n" cm="1">
        <x:f t="array" aca="1" ref="R48" ca="1">IFERROR(_xlfn.XLOOKUP($A$1,'[2]SAVDO BALANS'!$AA$11:$BB$11,_xlfn.XLOOKUP($O48,'[2]SAVDO BALANS'!$Z$12:$Z$100,'[2]SAVDO BALANS'!$AA$12:$BB$100)),0)</x:f>
        <x:v>0</x:v>
      </x:c>
      <x:c r="S48" s="383"/>
      <x:c r="T48" s="383"/>
    </x:row>
    <x:row r="49" ht="22" customHeight="1">
      <x:c r="A49" s="479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 t="s">
        <x:v>41</x:v>
      </x:c>
      <x:c r="O49" s="415" t="s">
        <x:v>58</x:v>
      </x:c>
      <x:c r="P49" s="415">
        <x:v>14</x:v>
      </x:c>
      <x:c r="Q49" s="472" t="n">
        <x:f>SUMIF('[2]SAVDO BALANS'!$BE:$BE,O49,'[2]SAVDO BALANS'!$BF:$BF)</x:f>
        <x:v>0</x:v>
      </x:c>
      <x:c r="R49" s="472" t="n" cm="1">
        <x:f t="array" aca="1" ref="R49" ca="1">IFERROR(_xlfn.XLOOKUP($A$1,'[2]SAVDO BALANS'!$AA$11:$BB$11,_xlfn.XLOOKUP($O49,'[2]SAVDO BALANS'!$Z$12:$Z$100,'[2]SAVDO BALANS'!$AA$12:$BB$100)),0)</x:f>
        <x:v>0</x:v>
      </x:c>
      <x:c r="S49" s="415"/>
      <x:c r="T49" s="415"/>
    </x:row>
    <x:row r="50" ht="22" customHeight="1">
      <x:c r="A50" s="480"/>
      <x:c r="B50" s="383"/>
      <x:c r="C50" s="383"/>
      <x:c r="D50" s="383"/>
      <x:c r="E50" s="383"/>
      <x:c r="F50" s="383"/>
      <x:c r="G50" s="383"/>
      <x:c r="H50" s="383"/>
      <x:c r="I50" s="383"/>
      <x:c r="J50" s="383"/>
      <x:c r="K50" s="383"/>
      <x:c r="L50" s="383"/>
      <x:c r="M50" s="383"/>
      <x:c r="N50" s="383" t="s">
        <x:v>41</x:v>
      </x:c>
      <x:c r="O50" s="383" t="s">
        <x:v>59</x:v>
      </x:c>
      <x:c r="P50" s="383">
        <x:v>14</x:v>
      </x:c>
      <x:c r="Q50" s="443" t="n">
        <x:f>SUMIF('[2]SAVDO BALANS'!$BE:$BE,O50,'[2]SAVDO BALANS'!$BF:$BF)</x:f>
        <x:v>0</x:v>
      </x:c>
      <x:c r="R50" s="443" t="n" cm="1">
        <x:f t="array" aca="1" ref="R50" ca="1">IFERROR(_xlfn.XLOOKUP($A$1,'[2]SAVDO BALANS'!$AA$11:$BB$11,_xlfn.XLOOKUP($O50,'[2]SAVDO BALANS'!$Z$12:$Z$100,'[2]SAVDO BALANS'!$AA$12:$BB$100)),0)</x:f>
        <x:v>0</x:v>
      </x:c>
      <x:c r="S50" s="383"/>
      <x:c r="T50" s="383"/>
    </x:row>
    <x:row r="51" ht="22" customHeight="1">
      <x:c r="A51" s="479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 t="s">
        <x:v>35</x:v>
      </x:c>
      <x:c r="O51" s="415" t="s">
        <x:v>60</x:v>
      </x:c>
      <x:c r="P51" s="415">
        <x:v>11</x:v>
      </x:c>
      <x:c r="Q51" s="472" t="n">
        <x:f>SUMIF('[2]SAVDO BALANS'!$BE:$BE,O51,'[2]SAVDO BALANS'!$BF:$BF)</x:f>
        <x:v>0</x:v>
      </x:c>
      <x:c r="R51" s="472" t="n" cm="1">
        <x:f t="array" aca="1" ref="R51" ca="1">IFERROR(_xlfn.XLOOKUP($A$1,'[2]SAVDO BALANS'!$AA$11:$BB$11,_xlfn.XLOOKUP($O51,'[2]SAVDO BALANS'!$Z$12:$Z$100,'[2]SAVDO BALANS'!$AA$12:$BB$100)),0)</x:f>
        <x:v>0</x:v>
      </x:c>
      <x:c r="S51" s="415"/>
      <x:c r="T51" s="415"/>
    </x:row>
    <x:row r="52" ht="22" customHeight="1">
      <x:c r="A52" s="480"/>
      <x:c r="B52" s="383"/>
      <x:c r="C52" s="383"/>
      <x:c r="D52" s="383"/>
      <x:c r="E52" s="383"/>
      <x:c r="F52" s="383"/>
      <x:c r="G52" s="383"/>
      <x:c r="H52" s="383"/>
      <x:c r="I52" s="383"/>
      <x:c r="J52" s="383"/>
      <x:c r="K52" s="383"/>
      <x:c r="L52" s="383"/>
      <x:c r="M52" s="383"/>
      <x:c r="N52" s="383" t="s">
        <x:v>43</x:v>
      </x:c>
      <x:c r="O52" s="383" t="s">
        <x:v>278</x:v>
      </x:c>
      <x:c r="P52" s="383">
        <x:v>15</x:v>
      </x:c>
      <x:c r="Q52" s="443" t="n">
        <x:f>SUMIF('[2]SAVDO BALANS'!$BE:$BE,O52,'[2]SAVDO BALANS'!$BF:$BF)</x:f>
        <x:v>0</x:v>
      </x:c>
      <x:c r="R52" s="443" t="n" cm="1">
        <x:f t="array" aca="1" ref="R52" ca="1">IFERROR(_xlfn.XLOOKUP($A$1,'[2]SAVDO BALANS'!$AA$11:$BB$11,_xlfn.XLOOKUP($O52,'[2]SAVDO BALANS'!$Z$12:$Z$100,'[2]SAVDO BALANS'!$AA$12:$BB$100)),0)</x:f>
        <x:v>0</x:v>
      </x:c>
      <x:c r="S52" s="383"/>
      <x:c r="T52" s="383"/>
    </x:row>
    <x:row r="53" ht="22" customHeight="1">
      <x:c r="A53" s="479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 t="s">
        <x:v>51</x:v>
      </x:c>
      <x:c r="O53" s="415" t="s">
        <x:v>279</x:v>
      </x:c>
      <x:c r="P53" s="415">
        <x:v>19</x:v>
      </x:c>
      <x:c r="Q53" s="472" t="n">
        <x:f>SUMIF('[2]SAVDO BALANS'!$BE:$BE,O53,'[2]SAVDO BALANS'!$BF:$BF)</x:f>
        <x:v>0</x:v>
      </x:c>
      <x:c r="R53" s="472" t="n" cm="1">
        <x:f t="array" aca="1" ref="R53" ca="1">IFERROR(_xlfn.XLOOKUP($A$1,'[2]SAVDO BALANS'!$AA$11:$BB$11,_xlfn.XLOOKUP($O53,'[2]SAVDO BALANS'!$Z$12:$Z$100,'[2]SAVDO BALANS'!$AA$12:$BB$100)),0)</x:f>
        <x:v>0</x:v>
      </x:c>
      <x:c r="S53" s="415"/>
      <x:c r="T53" s="415"/>
    </x:row>
    <x:row r="54" ht="22" customHeight="1">
      <x:c r="A54" s="480"/>
      <x:c r="B54" s="383"/>
      <x:c r="C54" s="383"/>
      <x:c r="D54" s="383"/>
      <x:c r="E54" s="383"/>
      <x:c r="F54" s="383"/>
      <x:c r="G54" s="383"/>
      <x:c r="H54" s="383"/>
      <x:c r="I54" s="383"/>
      <x:c r="J54" s="383"/>
      <x:c r="K54" s="383"/>
      <x:c r="L54" s="383"/>
      <x:c r="M54" s="383"/>
      <x:c r="N54" s="383" t="s">
        <x:v>25</x:v>
      </x:c>
      <x:c r="O54" s="383" t="s">
        <x:v>61</x:v>
      </x:c>
      <x:c r="P54" s="383">
        <x:v>5</x:v>
      </x:c>
      <x:c r="Q54" s="443" t="n">
        <x:f>SUMIF('[2]SAVDO BALANS'!$BE:$BE,O54,'[2]SAVDO BALANS'!$BF:$BF)</x:f>
        <x:v>0</x:v>
      </x:c>
      <x:c r="R54" s="443" t="n" cm="1">
        <x:f t="array" aca="1" ref="R54" ca="1">IFERROR(_xlfn.XLOOKUP($A$1,'[2]SAVDO BALANS'!$AA$11:$BB$11,_xlfn.XLOOKUP($O54,'[2]SAVDO BALANS'!$Z$12:$Z$100,'[2]SAVDO BALANS'!$AA$12:$BB$100)),0)</x:f>
        <x:v>0</x:v>
      </x:c>
      <x:c r="S54" s="383"/>
      <x:c r="T54" s="383"/>
    </x:row>
    <x:row r="55" ht="22" customHeight="1">
      <x:c r="A55" s="479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 t="s">
        <x:v>43</x:v>
      </x:c>
      <x:c r="O55" s="415" t="s">
        <x:v>280</x:v>
      </x:c>
      <x:c r="P55" s="415">
        <x:v>15</x:v>
      </x:c>
      <x:c r="Q55" s="472" t="n">
        <x:f>SUMIF('[2]SAVDO BALANS'!$BE:$BE,O55,'[2]SAVDO BALANS'!$BF:$BF)</x:f>
        <x:v>0</x:v>
      </x:c>
      <x:c r="R55" s="472" t="n" cm="1">
        <x:f t="array" aca="1" ref="R55" ca="1">IFERROR(_xlfn.XLOOKUP($A$1,'[2]SAVDO BALANS'!$AA$11:$BB$11,_xlfn.XLOOKUP($O55,'[2]SAVDO BALANS'!$Z$12:$Z$100,'[2]SAVDO BALANS'!$AA$12:$BB$100)),0)</x:f>
        <x:v>0</x:v>
      </x:c>
      <x:c r="S55" s="415"/>
      <x:c r="T55" s="415"/>
    </x:row>
    <x:row r="56" ht="22" customHeight="1">
      <x:c r="A56" s="480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 t="s">
        <x:v>51</x:v>
      </x:c>
      <x:c r="O56" s="383" t="s">
        <x:v>281</x:v>
      </x:c>
      <x:c r="P56" s="383">
        <x:v>19</x:v>
      </x:c>
      <x:c r="Q56" s="443" t="n">
        <x:f>SUMIF('[2]SAVDO BALANS'!$BE:$BE,O56,'[2]SAVDO BALANS'!$BF:$BF)</x:f>
        <x:v>0</x:v>
      </x:c>
      <x:c r="R56" s="443" t="n" cm="1">
        <x:f t="array" aca="1" ref="R56" ca="1">IFERROR(_xlfn.XLOOKUP($A$1,'[2]SAVDO BALANS'!$AA$11:$BB$11,_xlfn.XLOOKUP($O56,'[2]SAVDO BALANS'!$Z$12:$Z$100,'[2]SAVDO BALANS'!$AA$12:$BB$100)),0)</x:f>
        <x:v>0</x:v>
      </x:c>
      <x:c r="S56" s="383"/>
      <x:c r="T56" s="383"/>
    </x:row>
    <x:row r="57" ht="22" customHeight="1">
      <x:c r="A57" s="479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 t="s">
        <x:v>43</x:v>
      </x:c>
      <x:c r="O57" s="415" t="s">
        <x:v>62</x:v>
      </x:c>
      <x:c r="P57" s="415">
        <x:v>15</x:v>
      </x:c>
      <x:c r="Q57" s="472" t="n">
        <x:f>SUMIF('[2]SAVDO BALANS'!$BE:$BE,O57,'[2]SAVDO BALANS'!$BF:$BF)</x:f>
        <x:v>0</x:v>
      </x:c>
      <x:c r="R57" s="472" t="n" cm="1">
        <x:f t="array" aca="1" ref="R57" ca="1">IFERROR(_xlfn.XLOOKUP($A$1,'[2]SAVDO BALANS'!$AA$11:$BB$11,_xlfn.XLOOKUP($O57,'[2]SAVDO BALANS'!$Z$12:$Z$100,'[2]SAVDO BALANS'!$AA$12:$BB$100)),0)</x:f>
        <x:v>0</x:v>
      </x:c>
      <x:c r="S57" s="415"/>
      <x:c r="T57" s="415"/>
    </x:row>
    <x:row r="58" ht="22" customHeight="1">
      <x:c r="A58" s="480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 t="s">
        <x:v>51</x:v>
      </x:c>
      <x:c r="O58" s="383" t="s">
        <x:v>63</x:v>
      </x:c>
      <x:c r="P58" s="383">
        <x:v>19</x:v>
      </x:c>
      <x:c r="Q58" s="443" t="n">
        <x:f>SUMIF('[2]SAVDO BALANS'!$BE:$BE,O58,'[2]SAVDO BALANS'!$BF:$BF)</x:f>
        <x:v>0</x:v>
      </x:c>
      <x:c r="R58" s="443" t="n" cm="1">
        <x:f t="array" aca="1" ref="R58" ca="1">IFERROR(_xlfn.XLOOKUP($A$1,'[2]SAVDO BALANS'!$AA$11:$BB$11,_xlfn.XLOOKUP($O58,'[2]SAVDO BALANS'!$Z$12:$Z$100,'[2]SAVDO BALANS'!$AA$12:$BB$100)),0)</x:f>
        <x:v>0</x:v>
      </x:c>
      <x:c r="S58" s="383"/>
      <x:c r="T58" s="383"/>
    </x:row>
    <x:row r="59" ht="22" customHeight="1">
      <x:c r="A59" s="479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 t="s">
        <x:v>47</x:v>
      </x:c>
      <x:c r="O59" s="415" t="s">
        <x:v>282</x:v>
      </x:c>
      <x:c r="P59" s="415">
        <x:v>17</x:v>
      </x:c>
      <x:c r="Q59" s="472" t="n">
        <x:f>SUMIF('[2]SAVDO BALANS'!$BE:$BE,O59,'[2]SAVDO BALANS'!$BF:$BF)</x:f>
        <x:v>0</x:v>
      </x:c>
      <x:c r="R59" s="472" t="n" cm="1">
        <x:f t="array" aca="1" ref="R59" ca="1">IFERROR(_xlfn.XLOOKUP($A$1,'[2]SAVDO BALANS'!$AA$11:$BB$11,_xlfn.XLOOKUP($O59,'[2]SAVDO BALANS'!$Z$12:$Z$100,'[2]SAVDO BALANS'!$AA$12:$BB$100)),0)</x:f>
        <x:v>0</x:v>
      </x:c>
      <x:c r="S59" s="415"/>
      <x:c r="T59" s="415"/>
    </x:row>
    <x:row r="60" ht="22" customHeight="1">
      <x:c r="A60" s="480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 t="s">
        <x:v>47</x:v>
      </x:c>
      <x:c r="O60" s="383" t="s">
        <x:v>283</x:v>
      </x:c>
      <x:c r="P60" s="383">
        <x:v>17</x:v>
      </x:c>
      <x:c r="Q60" s="443" t="n">
        <x:f>SUMIF('[2]SAVDO BALANS'!$BE:$BE,O60,'[2]SAVDO BALANS'!$BF:$BF)</x:f>
        <x:v>0</x:v>
      </x:c>
      <x:c r="R60" s="443" t="n" cm="1">
        <x:f t="array" aca="1" ref="R60" ca="1">IFERROR(_xlfn.XLOOKUP($A$1,'[2]SAVDO BALANS'!$AA$11:$BB$11,_xlfn.XLOOKUP($O60,'[2]SAVDO BALANS'!$Z$12:$Z$100,'[2]SAVDO BALANS'!$AA$12:$BB$100)),0)</x:f>
        <x:v>0</x:v>
      </x:c>
      <x:c r="S60" s="383"/>
      <x:c r="T60" s="383"/>
    </x:row>
    <x:row r="61" ht="22" customHeight="1">
      <x:c r="A61" s="479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 t="s">
        <x:v>21</x:v>
      </x:c>
      <x:c r="O61" s="415" t="s">
        <x:v>64</x:v>
      </x:c>
      <x:c r="P61" s="415">
        <x:v>3</x:v>
      </x:c>
      <x:c r="Q61" s="472" t="n">
        <x:f>SUMIF('[2]SAVDO BALANS'!$BE:$BE,O61,'[2]SAVDO BALANS'!$BF:$BF)</x:f>
        <x:v>0</x:v>
      </x:c>
      <x:c r="R61" s="472" t="n" cm="1">
        <x:f t="array" aca="1" ref="R61" ca="1">IFERROR(_xlfn.XLOOKUP($A$1,'[2]SAVDO BALANS'!$AA$11:$BB$11,_xlfn.XLOOKUP($O61,'[2]SAVDO BALANS'!$Z$12:$Z$100,'[2]SAVDO BALANS'!$AA$12:$BB$100)),0)</x:f>
        <x:v>0</x:v>
      </x:c>
      <x:c r="S61" s="415"/>
      <x:c r="T61" s="415"/>
    </x:row>
    <x:row r="62" ht="22" customHeight="1">
      <x:c r="A62" s="480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 t="s">
        <x:v>47</x:v>
      </x:c>
      <x:c r="O62" s="383" t="s">
        <x:v>65</x:v>
      </x:c>
      <x:c r="P62" s="383">
        <x:v>17</x:v>
      </x:c>
      <x:c r="Q62" s="443" t="n">
        <x:f>SUMIF('[2]SAVDO BALANS'!$BE:$BE,O62,'[2]SAVDO BALANS'!$BF:$BF)</x:f>
        <x:v>0</x:v>
      </x:c>
      <x:c r="R62" s="443" t="n" cm="1">
        <x:f t="array" aca="1" ref="R62" ca="1">IFERROR(_xlfn.XLOOKUP($A$1,'[2]SAVDO BALANS'!$AA$11:$BB$11,_xlfn.XLOOKUP($O62,'[2]SAVDO BALANS'!$Z$12:$Z$100,'[2]SAVDO BALANS'!$AA$12:$BB$100)),0)</x:f>
        <x:v>0</x:v>
      </x:c>
      <x:c r="S62" s="383"/>
      <x:c r="T62" s="383"/>
    </x:row>
    <x:row r="63" ht="22" customHeight="1">
      <x:c r="A63" s="479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 t="s">
        <x:v>21</x:v>
      </x:c>
      <x:c r="O63" s="415" t="s">
        <x:v>284</x:v>
      </x:c>
      <x:c r="P63" s="415">
        <x:v>3</x:v>
      </x:c>
      <x:c r="Q63" s="472" t="n">
        <x:f>SUMIF('[2]SAVDO BALANS'!$BE:$BE,O63,'[2]SAVDO BALANS'!$BF:$BF)</x:f>
        <x:v>0</x:v>
      </x:c>
      <x:c r="R63" s="472" t="n" cm="1">
        <x:f t="array" aca="1" ref="R63" ca="1">IFERROR(_xlfn.XLOOKUP($A$1,'[2]SAVDO BALANS'!$AA$11:$BB$11,_xlfn.XLOOKUP($O63,'[2]SAVDO BALANS'!$Z$12:$Z$100,'[2]SAVDO BALANS'!$AA$12:$BB$100)),0)</x:f>
        <x:v>0</x:v>
      </x:c>
      <x:c r="S63" s="415"/>
      <x:c r="T63" s="415"/>
    </x:row>
    <x:row r="64" ht="22" customHeight="1">
      <x:c r="A64" s="480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 t="s">
        <x:v>47</x:v>
      </x:c>
      <x:c r="O64" s="383" t="s">
        <x:v>285</x:v>
      </x:c>
      <x:c r="P64" s="383">
        <x:v>17</x:v>
      </x:c>
      <x:c r="Q64" s="443" t="n">
        <x:f>SUMIF('[2]SAVDO BALANS'!$BE:$BE,O64,'[2]SAVDO BALANS'!$BF:$BF)</x:f>
        <x:v>0</x:v>
      </x:c>
      <x:c r="R64" s="443" t="n" cm="1">
        <x:f t="array" aca="1" ref="R64" ca="1">IFERROR(_xlfn.XLOOKUP($A$1,'[2]SAVDO BALANS'!$AA$11:$BB$11,_xlfn.XLOOKUP($O64,'[2]SAVDO BALANS'!$Z$12:$Z$100,'[2]SAVDO BALANS'!$AA$12:$BB$100)),0)</x:f>
        <x:v>0</x:v>
      </x:c>
      <x:c r="S64" s="383"/>
      <x:c r="T64" s="383"/>
    </x:row>
    <x:row r="65" ht="22" customHeight="1">
      <x:c r="A65" s="479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 t="s">
        <x:v>49</x:v>
      </x:c>
      <x:c r="O65" s="415" t="s">
        <x:v>66</x:v>
      </x:c>
      <x:c r="P65" s="415">
        <x:v>18</x:v>
      </x:c>
      <x:c r="Q65" s="472" t="n">
        <x:f>SUMIF('[2]SAVDO BALANS'!$BE:$BE,O65,'[2]SAVDO BALANS'!$BF:$BF)</x:f>
        <x:v>0</x:v>
      </x:c>
      <x:c r="R65" s="472" t="n" cm="1">
        <x:f t="array" aca="1" ref="R65" ca="1">IFERROR(_xlfn.XLOOKUP($A$1,'[2]SAVDO BALANS'!$AA$11:$BB$11,_xlfn.XLOOKUP($O65,'[2]SAVDO BALANS'!$Z$12:$Z$100,'[2]SAVDO BALANS'!$AA$12:$BB$100)),0)</x:f>
        <x:v>0</x:v>
      </x:c>
      <x:c r="S65" s="415"/>
      <x:c r="T65" s="415"/>
    </x:row>
    <x:row r="66" ht="22" customHeight="1">
      <x:c r="A66" s="480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 t="s">
        <x:v>49</x:v>
      </x:c>
      <x:c r="O66" s="383" t="s">
        <x:v>67</x:v>
      </x:c>
      <x:c r="P66" s="383">
        <x:v>18</x:v>
      </x:c>
      <x:c r="Q66" s="443" t="n">
        <x:f>SUMIF('[2]SAVDO BALANS'!$BE:$BE,O66,'[2]SAVDO BALANS'!$BF:$BF)</x:f>
        <x:v>0</x:v>
      </x:c>
      <x:c r="R66" s="443" t="n" cm="1">
        <x:f t="array" aca="1" ref="R66" ca="1">IFERROR(_xlfn.XLOOKUP($A$1,'[2]SAVDO BALANS'!$AA$11:$BB$11,_xlfn.XLOOKUP($O66,'[2]SAVDO BALANS'!$Z$12:$Z$100,'[2]SAVDO BALANS'!$AA$12:$BB$100)),0)</x:f>
        <x:v>0</x:v>
      </x:c>
      <x:c r="S66" s="383"/>
      <x:c r="T66" s="383"/>
    </x:row>
    <x:row r="67" ht="22" customHeight="1">
      <x:c r="A67" s="479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 t="s">
        <x:v>49</x:v>
      </x:c>
      <x:c r="O67" s="415" t="s">
        <x:v>68</x:v>
      </x:c>
      <x:c r="P67" s="415">
        <x:v>18</x:v>
      </x:c>
      <x:c r="Q67" s="472" t="n">
        <x:f>SUMIF('[2]SAVDO BALANS'!$BE:$BE,O67,'[2]SAVDO BALANS'!$BF:$BF)</x:f>
        <x:v>0</x:v>
      </x:c>
      <x:c r="R67" s="472" t="n" cm="1">
        <x:f t="array" aca="1" ref="R67" ca="1">IFERROR(_xlfn.XLOOKUP($A$1,'[2]SAVDO BALANS'!$AA$11:$BB$11,_xlfn.XLOOKUP($O67,'[2]SAVDO BALANS'!$Z$12:$Z$100,'[2]SAVDO BALANS'!$AA$12:$BB$100)),0)</x:f>
        <x:v>0</x:v>
      </x:c>
      <x:c r="S67" s="415"/>
      <x:c r="T67" s="415"/>
    </x:row>
    <x:row r="68" ht="22" customHeight="1">
      <x:c r="A68" s="480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 t="s">
        <x:v>49</x:v>
      </x:c>
      <x:c r="O68" s="383" t="s">
        <x:v>69</x:v>
      </x:c>
      <x:c r="P68" s="383">
        <x:v>18</x:v>
      </x:c>
      <x:c r="Q68" s="443" t="n">
        <x:f>SUMIF('[2]SAVDO BALANS'!$BE:$BE,O68,'[2]SAVDO BALANS'!$BF:$BF)</x:f>
        <x:v>0</x:v>
      </x:c>
      <x:c r="R68" s="443" t="n" cm="1">
        <x:f t="array" aca="1" ref="R68" ca="1">IFERROR(_xlfn.XLOOKUP($A$1,'[2]SAVDO BALANS'!$AA$11:$BB$11,_xlfn.XLOOKUP($O68,'[2]SAVDO BALANS'!$Z$12:$Z$100,'[2]SAVDO BALANS'!$AA$12:$BB$100)),0)</x:f>
        <x:v>0</x:v>
      </x:c>
      <x:c r="S68" s="383"/>
      <x:c r="T68" s="383"/>
    </x:row>
    <x:row r="69" ht="22" customHeight="1">
      <x:c r="A69" s="479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 t="s">
        <x:v>49</x:v>
      </x:c>
      <x:c r="O69" s="415" t="s">
        <x:v>70</x:v>
      </x:c>
      <x:c r="P69" s="415">
        <x:v>18</x:v>
      </x:c>
      <x:c r="Q69" s="472" t="n">
        <x:f>SUMIF('[2]SAVDO BALANS'!$BE:$BE,O69,'[2]SAVDO BALANS'!$BF:$BF)</x:f>
        <x:v>0</x:v>
      </x:c>
      <x:c r="R69" s="472" t="n" cm="1">
        <x:f t="array" aca="1" ref="R69" ca="1">IFERROR(_xlfn.XLOOKUP($A$1,'[2]SAVDO BALANS'!$AA$11:$BB$11,_xlfn.XLOOKUP($O69,'[2]SAVDO BALANS'!$Z$12:$Z$100,'[2]SAVDO BALANS'!$AA$12:$BB$100)),0)</x:f>
        <x:v>0</x:v>
      </x:c>
      <x:c r="S69" s="415"/>
      <x:c r="T69" s="415"/>
    </x:row>
    <x:row r="70" ht="22" customHeight="1">
      <x:c r="A70" s="480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 t="s">
        <x:v>49</x:v>
      </x:c>
      <x:c r="O70" s="383" t="s">
        <x:v>71</x:v>
      </x:c>
      <x:c r="P70" s="383">
        <x:v>18</x:v>
      </x:c>
      <x:c r="Q70" s="443" t="n">
        <x:f>SUMIF('[2]SAVDO BALANS'!$BE:$BE,O70,'[2]SAVDO BALANS'!$BF:$BF)</x:f>
        <x:v>0</x:v>
      </x:c>
      <x:c r="R70" s="443" t="n" cm="1">
        <x:f t="array" aca="1" ref="R70" ca="1">IFERROR(_xlfn.XLOOKUP($A$1,'[2]SAVDO BALANS'!$AA$11:$BB$11,_xlfn.XLOOKUP($O70,'[2]SAVDO BALANS'!$Z$12:$Z$100,'[2]SAVDO BALANS'!$AA$12:$BB$100)),0)</x:f>
        <x:v>0</x:v>
      </x:c>
      <x:c r="S70" s="383"/>
      <x:c r="T70" s="383"/>
    </x:row>
    <x:row r="71" ht="22" customHeight="1">
      <x:c r="A71" s="479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 t="s">
        <x:v>196</x:v>
      </x:c>
      <x:c r="O71" s="415" t="s">
        <x:v>22</x:v>
      </x:c>
      <x:c r="P71" s="415">
        <x:v>6</x:v>
      </x:c>
      <x:c r="Q71" s="472" t="n">
        <x:f>SUMIF('[2]SAVDO BALANS'!$BE:$BE,O71,'[2]SAVDO BALANS'!$BF:$BF)</x:f>
        <x:v>0</x:v>
      </x:c>
      <x:c r="R71" s="472" t="n" cm="1">
        <x:f t="array" aca="1" ref="R71" ca="1">IFERROR(_xlfn.XLOOKUP($A$1,'[2]SAVDO BALANS'!$AA$11:$BB$11,_xlfn.XLOOKUP($O71,'[2]SAVDO BALANS'!$Z$12:$Z$100,'[2]SAVDO BALANS'!$AA$12:$BB$100)),0)</x:f>
        <x:v>0</x:v>
      </x:c>
      <x:c r="S71" s="415"/>
      <x:c r="T71" s="415"/>
    </x:row>
    <x:row r="72" ht="22" customHeight="1">
      <x:c r="A72" s="480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 t="s">
        <x:v>196</x:v>
      </x:c>
      <x:c r="O72" s="383" t="s">
        <x:v>286</x:v>
      </x:c>
      <x:c r="P72" s="383">
        <x:v>6</x:v>
      </x:c>
      <x:c r="Q72" s="443" t="n">
        <x:f>SUMIF('[2]SAVDO BALANS'!$BE:$BE,O72,'[2]SAVDO BALANS'!$BF:$BF)</x:f>
        <x:v>0</x:v>
      </x:c>
      <x:c r="R72" s="443" t="n" cm="1">
        <x:f t="array" aca="1" ref="R72" ca="1">IFERROR(_xlfn.XLOOKUP($A$1,'[2]SAVDO BALANS'!$AA$11:$BB$11,_xlfn.XLOOKUP($O72,'[2]SAVDO BALANS'!$Z$12:$Z$100,'[2]SAVDO BALANS'!$AA$12:$BB$100)),0)</x:f>
        <x:v>0</x:v>
      </x:c>
      <x:c r="S72" s="383"/>
      <x:c r="T72" s="383"/>
    </x:row>
    <x:row r="73" ht="22" customHeight="1">
      <x:c r="A73" s="479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 t="s">
        <x:v>196</x:v>
      </x:c>
      <x:c r="O73" s="415" t="s">
        <x:v>287</x:v>
      </x:c>
      <x:c r="P73" s="415">
        <x:v>6</x:v>
      </x:c>
      <x:c r="Q73" s="472" t="n">
        <x:f>SUMIF('[2]SAVDO BALANS'!$BE:$BE,O73,'[2]SAVDO BALANS'!$BF:$BF)</x:f>
        <x:v>0</x:v>
      </x:c>
      <x:c r="R73" s="472" t="n" cm="1">
        <x:f t="array" aca="1" ref="R73" ca="1">IFERROR(_xlfn.XLOOKUP($A$1,'[2]SAVDO BALANS'!$AA$11:$BB$11,_xlfn.XLOOKUP($O73,'[2]SAVDO BALANS'!$Z$12:$Z$100,'[2]SAVDO BALANS'!$AA$12:$BB$100)),0)</x:f>
        <x:v>0</x:v>
      </x:c>
      <x:c r="S73" s="415"/>
      <x:c r="T73" s="415"/>
    </x:row>
    <x:row r="74" ht="22" customHeight="1">
      <x:c r="A74" s="480"/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 t="s">
        <x:v>25</x:v>
      </x:c>
      <x:c r="O74" s="383" t="s">
        <x:v>288</x:v>
      </x:c>
      <x:c r="P74" s="383">
        <x:v>5</x:v>
      </x:c>
      <x:c r="Q74" s="443" t="n">
        <x:f>SUMIF('[2]SAVDO BALANS'!$BE:$BE,O74,'[2]SAVDO BALANS'!$BF:$BF)</x:f>
        <x:v>0</x:v>
      </x:c>
      <x:c r="R74" s="443" t="n" cm="1">
        <x:f t="array" aca="1" ref="R74" ca="1">IFERROR(_xlfn.XLOOKUP($A$1,'[2]SAVDO BALANS'!$AA$11:$BB$11,_xlfn.XLOOKUP($O74,'[2]SAVDO BALANS'!$Z$12:$Z$100,'[2]SAVDO BALANS'!$AA$12:$BB$100)),0)</x:f>
        <x:v>0</x:v>
      </x:c>
      <x:c r="S74" s="383"/>
      <x:c r="T74" s="383"/>
    </x:row>
    <x:row r="75" ht="22" customHeight="1">
      <x:c r="A75" s="479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 t="s">
        <x:v>25</x:v>
      </x:c>
      <x:c r="O75" s="415" t="s">
        <x:v>289</x:v>
      </x:c>
      <x:c r="P75" s="415">
        <x:v>5</x:v>
      </x:c>
      <x:c r="Q75" s="472" t="n">
        <x:f>SUMIF('[2]SAVDO BALANS'!$BE:$BE,O75,'[2]SAVDO BALANS'!$BF:$BF)</x:f>
        <x:v>0</x:v>
      </x:c>
      <x:c r="R75" s="472" t="n" cm="1">
        <x:f t="array" aca="1" ref="R75" ca="1">IFERROR(_xlfn.XLOOKUP($A$1,'[2]SAVDO BALANS'!$AA$11:$BB$11,_xlfn.XLOOKUP($O75,'[2]SAVDO BALANS'!$Z$12:$Z$100,'[2]SAVDO BALANS'!$AA$12:$BB$100)),0)</x:f>
        <x:v>0</x:v>
      </x:c>
      <x:c r="S75" s="415"/>
      <x:c r="T75" s="415"/>
    </x:row>
    <x:row r="76" ht="22" customHeight="1">
      <x:c r="A76" s="99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 t="s">
        <x:v>25</x:v>
      </x:c>
      <x:c r="O76" s="453" t="s">
        <x:v>290</x:v>
      </x:c>
      <x:c r="P76" s="453">
        <x:v>5</x:v>
      </x:c>
      <x:c r="Q76" s="452" t="n">
        <x:f>SUMIF('[2]SAVDO BALANS'!$BE:$BE,O76,'[2]SAVDO BALANS'!$BF:$BF)</x:f>
        <x:v>0</x:v>
      </x:c>
      <x:c r="R76" s="452" t="n" cm="1">
        <x:f t="array" aca="1" ref="R76" ca="1">IFERROR(_xlfn.XLOOKUP($A$1,'[2]SAVDO BALANS'!$AA$11:$BB$11,_xlfn.XLOOKUP($O76,'[2]SAVDO BALANS'!$Z$12:$Z$100,'[2]SAVDO BALANS'!$AA$12:$BB$100)),0)</x:f>
        <x:v>0</x:v>
      </x:c>
      <x:c r="S76" s="453"/>
      <x:c r="T76" s="453"/>
    </x:row>
  </x:sheetData>
  <x:mergeCells>
    <x:mergeCell ref="A2:A3"/>
    <x:mergeCell ref="B2:B3"/>
    <x:mergeCell ref="A1:B1"/>
    <x:mergeCell ref="C1:G1"/>
  </x:mergeCells>
  <x:conditionalFormatting sqref="F3:F23">
    <x:cfRule type="cellIs" dxfId="6" priority="11" operator="lessThan">
      <x:formula>0</x:formula>
    </x:cfRule>
  </x:conditionalFormatting>
  <x:conditionalFormatting sqref="G3:G3">
    <x:cfRule type="cellIs" dxfId="5" priority="1" operator="lessThan">
      <x:formula>0</x:formula>
    </x:cfRule>
    <x:cfRule type="cellIs" dxfId="4" priority="2" operator="greaterThanOrEqual">
      <x:formula>0</x:formula>
    </x:cfRule>
  </x:conditionalFormatting>
  <x:conditionalFormatting sqref="G4:G23">
    <x:cfRule type="cellIs" dxfId="3" priority="5" operator="lessThan">
      <x:formula>0</x:formula>
    </x:cfRule>
    <x:cfRule type="cellIs" dxfId="2" priority="6" operator="greaterThanOrEqual">
      <x:formula>0</x:formula>
    </x:cfRule>
  </x:conditionalFormatting>
  <x:conditionalFormatting sqref="Q1:Q1">
    <x:cfRule type="expression" dxfId="1" priority="38">
      <x:formula>$Q$1=$G$3</x:formula>
    </x:cfRule>
  </x:conditionalFormatting>
  <x:conditionalFormatting sqref="R1:R1">
    <x:cfRule type="expression" dxfId="0" priority="39">
      <x:formula>$R$1=$E$3</x:formula>
    </x:cfRule>
  </x:conditionalFormatting>
  <x:conditionalFormatting sqref="F3:F76">
    <x:cfRule type="cellIs" dxfId="19" priority="40" operator="lessThan">
      <x:formula>0</x:formula>
    </x:cfRule>
  </x:conditionalFormatting>
  <x:conditionalFormatting sqref="G3:G76">
    <x:cfRule type="cellIs" dxfId="20" priority="4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12.5703125" defaultRowHeight="26.25"/>
  <x:cols>
    <x:col min="1" max="1" width="16" style="50" hidden="0" customWidth="1"/>
    <x:col min="2" max="2" width="19" style="50" hidden="0" customWidth="1"/>
    <x:col min="3" max="5" width="20.7109375" style="53" customWidth="1"/>
    <x:col min="6" max="6" width="13" style="52" hidden="0" customWidth="1"/>
    <x:col min="7" max="7" width="13" style="45" hidden="0" customWidth="1"/>
    <x:col min="8" max="8" width="13" style="62" hidden="0" customWidth="1"/>
    <x:col min="9" max="9" width="13" style="62" hidden="0" customWidth="1"/>
    <x:col min="10" max="10" width="13" style="59" hidden="0" customWidth="1"/>
    <x:col min="11" max="20" width="20.7109375" style="53" customWidth="1"/>
    <x:col min="21" max="21" width="13" style="133" hidden="0" customWidth="1"/>
    <x:col min="22" max="22" width="13" style="94" hidden="0" customWidth="1"/>
    <x:col min="23" max="23" width="13" style="50" hidden="0" customWidth="1"/>
    <x:col min="24" max="24" width="13" style="101" hidden="0" customWidth="1"/>
    <x:col min="25" max="33" width="19.28515625" style="101" customWidth="1"/>
    <x:col min="34" max="16384" width="12.5703125" style="50" customWidth="0"/>
    <x:col min="3" max="3" width="13" hidden="0" customWidth="1"/>
    <x:col min="4" max="4" width="13" hidden="0" customWidth="1"/>
    <x:col min="5" max="5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</x:cols>
  <x:sheetData>
    <x:row r="1" s="142" customFormat="1" ht="22" hidden="1" customHeight="1">
      <x:c r="A1" s="476"/>
      <x:c r="B1" s="457"/>
      <x:c r="C1" s="1132" t="s">
        <x:v>291</x:v>
      </x:c>
      <x:c r="D1" s="1132"/>
      <x:c r="E1" s="1132"/>
      <x:c r="F1" s="457"/>
      <x:c r="G1" s="457"/>
      <x:c r="H1" s="1132"/>
      <x:c r="I1" s="1132"/>
      <x:c r="J1" s="1132"/>
      <x:c r="K1" s="1132"/>
      <x:c r="L1" s="1132"/>
      <x:c r="M1" s="1132"/>
      <x:c r="N1" s="1132"/>
      <x:c r="O1" s="1132"/>
      <x:c r="P1" s="1132"/>
      <x:c r="Q1" s="1132"/>
      <x:c r="R1" s="1132"/>
      <x:c r="S1" s="1132"/>
      <x:c r="T1" s="1132" t="s">
        <x:v>292</x:v>
      </x:c>
      <x:c r="U1" s="1133"/>
      <x:c r="V1" s="458"/>
      <x:c r="W1" s="457"/>
      <x:c r="X1" s="458"/>
      <x:c r="Y1" s="458"/>
      <x:c r="Z1" s="458"/>
      <x:c r="AA1" s="458"/>
      <x:c r="AB1" s="458"/>
      <x:c r="AC1" s="458"/>
      <x:c r="AD1" s="458"/>
      <x:c r="AE1" s="458"/>
      <x:c r="AF1" s="458"/>
      <x:c r="AG1" s="458"/>
      <x:c r="AH1" s="457"/>
      <x:c r="AI1" s="457"/>
      <x:c r="AJ1" s="457"/>
      <x:c r="AK1" s="457"/>
      <x:c r="AL1" s="457"/>
      <x:c r="AM1" s="457"/>
      <x:c r="AN1" s="457"/>
      <x:c r="AO1" s="457"/>
      <x:c r="AP1" s="457"/>
      <x:c r="AQ1" s="457"/>
      <x:c r="AR1" s="457"/>
      <x:c r="AS1" s="457"/>
    </x:row>
    <x:row r="2" s="142" customFormat="1" ht="22" hidden="1" customHeight="1">
      <x:c r="A2" s="477"/>
      <x:c r="B2" s="402"/>
      <x:c r="C2" s="1134" t="s">
        <x:v>293</x:v>
      </x:c>
      <x:c r="D2" s="1134"/>
      <x:c r="E2" s="402"/>
      <x:c r="F2" s="1135"/>
      <x:c r="G2" s="402"/>
      <x:c r="H2" s="1134"/>
      <x:c r="I2" s="1134"/>
      <x:c r="J2" s="1134" t="s">
        <x:v>294</x:v>
      </x:c>
      <x:c r="K2" s="1134"/>
      <x:c r="L2" s="1134"/>
      <x:c r="M2" s="1134"/>
      <x:c r="N2" s="1134"/>
      <x:c r="O2" s="1134"/>
      <x:c r="P2" s="1134"/>
      <x:c r="Q2" s="1134"/>
      <x:c r="R2" s="1134"/>
      <x:c r="S2" s="1134"/>
      <x:c r="T2" s="1134" t="s">
        <x:v>295</x:v>
      </x:c>
      <x:c r="U2" s="1136"/>
      <x:c r="V2" s="459"/>
      <x:c r="W2" s="402"/>
      <x:c r="X2" s="459"/>
      <x:c r="Y2" s="459"/>
      <x:c r="Z2" s="459"/>
      <x:c r="AA2" s="459"/>
      <x:c r="AB2" s="459"/>
      <x:c r="AC2" s="459"/>
      <x:c r="AD2" s="459"/>
      <x:c r="AE2" s="459"/>
      <x:c r="AF2" s="459"/>
      <x:c r="AG2" s="459"/>
      <x:c r="AH2" s="402"/>
      <x:c r="AI2" s="402"/>
      <x:c r="AJ2" s="402"/>
      <x:c r="AK2" s="402"/>
      <x:c r="AL2" s="402"/>
      <x:c r="AM2" s="402"/>
      <x:c r="AN2" s="402"/>
      <x:c r="AO2" s="402"/>
      <x:c r="AP2" s="402"/>
      <x:c r="AQ2" s="402"/>
      <x:c r="AR2" s="402"/>
      <x:c r="AS2" s="402"/>
    </x:row>
    <x:row r="3" ht="22" customHeight="1">
      <x:c r="A3" s="477"/>
      <x:c r="B3" s="604" t="n">
        <x:f ca="1">'KASSA SOF'!A1</x:f>
        <x:v>46214</x:v>
      </x:c>
      <x:c r="C3" s="604"/>
      <x:c r="D3" s="604"/>
      <x:c r="E3" s="604"/>
      <x:c r="F3" s="604"/>
      <x:c r="G3" s="604"/>
      <x:c r="H3" s="604"/>
      <x:c r="I3" s="604"/>
      <x:c r="J3" s="604"/>
      <x:c r="K3" s="604"/>
      <x:c r="L3" s="604"/>
      <x:c r="M3" s="604"/>
      <x:c r="N3" s="604"/>
      <x:c r="O3" s="604"/>
      <x:c r="P3" s="604"/>
      <x:c r="Q3" s="604"/>
      <x:c r="R3" s="604"/>
      <x:c r="S3" s="604"/>
      <x:c r="T3" s="604"/>
      <x:c r="U3" s="604"/>
      <x:c r="V3" s="604"/>
      <x:c r="W3" s="402"/>
      <x:c r="X3" s="402"/>
      <x:c r="Y3" s="402"/>
      <x:c r="Z3" s="402"/>
      <x:c r="AA3" s="402"/>
      <x:c r="AB3" s="402"/>
      <x:c r="AC3" s="402"/>
      <x:c r="AD3" s="402"/>
      <x:c r="AE3" s="402"/>
      <x:c r="AF3" s="402"/>
      <x:c r="AG3" s="402"/>
      <x:c r="AH3" s="402"/>
      <x:c r="AI3" s="402"/>
      <x:c r="AJ3" s="402"/>
      <x:c r="AK3" s="402"/>
      <x:c r="AL3" s="402"/>
      <x:c r="AM3" s="402"/>
      <x:c r="AN3" s="402"/>
      <x:c r="AO3" s="402"/>
      <x:c r="AP3" s="402"/>
      <x:c r="AQ3" s="402"/>
      <x:c r="AR3" s="402"/>
      <x:c r="AS3" s="402"/>
    </x:row>
    <x:row r="4" ht="22" customHeight="1">
      <x:c r="A4" s="477"/>
      <x:c r="B4" s="876"/>
      <x:c r="C4" s="459" t="n">
        <x:f>SUM(C6:C24)</x:f>
        <x:v>120</x:v>
      </x:c>
      <x:c r="D4" s="459"/>
      <x:c r="E4" s="1134"/>
      <x:c r="F4" s="402"/>
      <x:c r="G4" s="402"/>
      <x:c r="H4" s="1137" t="s">
        <x:v>8</x:v>
      </x:c>
      <x:c r="I4" s="1138"/>
      <x:c r="J4" s="1137" t="s">
        <x:v>242</x:v>
      </x:c>
      <x:c r="K4" s="1135"/>
      <x:c r="L4" s="1138"/>
      <x:c r="M4" s="1135" t="s">
        <x:v>296</x:v>
      </x:c>
      <x:c r="N4" s="1135"/>
      <x:c r="O4" s="1138"/>
      <x:c r="P4" s="402"/>
      <x:c r="Q4" s="402"/>
      <x:c r="R4" s="402"/>
      <x:c r="S4" s="402"/>
      <x:c r="T4" s="402"/>
      <x:c r="U4" s="459" t="n">
        <x:f>SUM(U7:U26)</x:f>
        <x:v>5</x:v>
      </x:c>
      <x:c r="V4" s="459"/>
      <x:c r="W4" s="459"/>
      <x:c r="X4" s="1134"/>
      <x:c r="Y4" s="402"/>
      <x:c r="Z4" s="402"/>
      <x:c r="AA4" s="402"/>
      <x:c r="AB4" s="402"/>
      <x:c r="AC4" s="402"/>
      <x:c r="AD4" s="402"/>
      <x:c r="AE4" s="402"/>
      <x:c r="AF4" s="402"/>
      <x:c r="AG4" s="402"/>
      <x:c r="AH4" s="459"/>
      <x:c r="AI4" s="402"/>
      <x:c r="AJ4" s="402"/>
      <x:c r="AK4" s="402"/>
      <x:c r="AL4" s="402"/>
      <x:c r="AM4" s="402"/>
      <x:c r="AN4" s="402"/>
      <x:c r="AO4" s="402"/>
      <x:c r="AP4" s="402"/>
      <x:c r="AQ4" s="402"/>
      <x:c r="AR4" s="402"/>
      <x:c r="AS4" s="402"/>
    </x:row>
    <x:row r="5" ht="22" customHeight="1">
      <x:c r="A5" s="477"/>
      <x:c r="B5" s="1135" t="s">
        <x:v>144</x:v>
      </x:c>
      <x:c r="C5" s="1135"/>
      <x:c r="D5" s="1135"/>
      <x:c r="E5" s="1134"/>
      <x:c r="F5" s="402"/>
      <x:c r="G5" s="402"/>
      <x:c r="H5" s="1137"/>
      <x:c r="I5" s="1138"/>
      <x:c r="J5" s="1137"/>
      <x:c r="K5" s="1135"/>
      <x:c r="L5" s="1138"/>
      <x:c r="M5" s="1135"/>
      <x:c r="N5" s="1135"/>
      <x:c r="O5" s="1138"/>
      <x:c r="P5" s="402"/>
      <x:c r="Q5" s="402"/>
      <x:c r="R5" s="402"/>
      <x:c r="S5" s="1135" t="s">
        <x:v>152</x:v>
      </x:c>
      <x:c r="T5" s="1135"/>
      <x:c r="U5" s="1135"/>
      <x:c r="V5" s="1135"/>
      <x:c r="W5" s="459"/>
      <x:c r="X5" s="1134"/>
      <x:c r="Y5" s="402"/>
      <x:c r="Z5" s="402"/>
      <x:c r="AA5" s="402"/>
      <x:c r="AB5" s="402"/>
      <x:c r="AC5" s="402"/>
      <x:c r="AD5" s="402"/>
      <x:c r="AE5" s="402"/>
      <x:c r="AF5" s="402"/>
      <x:c r="AG5" s="402"/>
      <x:c r="AH5" s="459"/>
      <x:c r="AI5" s="402"/>
      <x:c r="AJ5" s="402"/>
      <x:c r="AK5" s="402"/>
      <x:c r="AL5" s="402"/>
      <x:c r="AM5" s="402"/>
      <x:c r="AN5" s="402"/>
      <x:c r="AO5" s="402"/>
      <x:c r="AP5" s="402"/>
      <x:c r="AQ5" s="402"/>
      <x:c r="AR5" s="402"/>
      <x:c r="AS5" s="402"/>
    </x:row>
    <x:row r="6" ht="22" customHeight="1">
      <x:c r="A6" s="423"/>
      <x:c r="B6" s="412" t="s">
        <x:v>245</x:v>
      </x:c>
      <x:c r="C6" s="467" t="s">
        <x:v>246</x:v>
      </x:c>
      <x:c r="D6" s="467"/>
      <x:c r="E6" s="1161"/>
      <x:c r="F6" s="412"/>
      <x:c r="G6" s="1161"/>
      <x:c r="H6" s="1161"/>
      <x:c r="I6" s="1161"/>
      <x:c r="J6" s="1162" t="n">
        <x:f>SUM(J7:L26)</x:f>
        <x:v>1672517800</x:v>
      </x:c>
      <x:c r="K6" s="1162"/>
      <x:c r="L6" s="1162"/>
      <x:c r="M6" s="1162" t="n">
        <x:f>SUM(M7:O26)</x:f>
        <x:v>70385501</x:v>
      </x:c>
      <x:c r="N6" s="1162"/>
      <x:c r="O6" s="1162"/>
      <x:c r="P6" s="412"/>
      <x:c r="Q6" s="412"/>
      <x:c r="R6" s="412"/>
      <x:c r="S6" s="412" t="s">
        <x:v>245</x:v>
      </x:c>
      <x:c r="T6" s="412"/>
      <x:c r="U6" s="467" t="s">
        <x:v>246</x:v>
      </x:c>
      <x:c r="V6" s="467"/>
      <x:c r="W6" s="467"/>
      <x:c r="X6" s="1161"/>
      <x:c r="Y6" s="412"/>
      <x:c r="Z6" s="412"/>
      <x:c r="AA6" s="412"/>
      <x:c r="AB6" s="412"/>
      <x:c r="AC6" s="412"/>
      <x:c r="AD6" s="412"/>
      <x:c r="AE6" s="412"/>
      <x:c r="AF6" s="412"/>
      <x:c r="AG6" s="412"/>
      <x:c r="AH6" s="467"/>
      <x:c r="AI6" s="412"/>
      <x:c r="AJ6" s="412"/>
      <x:c r="AK6" s="412"/>
      <x:c r="AL6" s="412"/>
      <x:c r="AM6" s="412"/>
      <x:c r="AN6" s="412"/>
      <x:c r="AO6" s="412"/>
      <x:c r="AP6" s="412"/>
      <x:c r="AQ6" s="412"/>
      <x:c r="AR6" s="412"/>
      <x:c r="AS6" s="412"/>
    </x:row>
    <x:row r="7" ht="22" customHeight="1">
      <x:c r="A7" s="479"/>
      <x:c r="B7" s="415" t="str">
        <x:f>_xlfn.XLOOKUP(E7,$AC$7:$AC$26,$X$7:$X$26,"")</x:f>
        <x:v>Namangan</x:v>
      </x:c>
      <x:c r="C7" s="891" t="n">
        <x:f t="shared" ref="C7:C26" si="0">_xlfn.XLOOKUP(E7,$AC$7:$AC$26,$AB$7:$AB$26,"")</x:f>
        <x:v>20</x:v>
      </x:c>
      <x:c r="D7" s="891"/>
      <x:c r="E7" s="1163">
        <x:v>1</x:v>
      </x:c>
      <x:c r="F7" s="469"/>
      <x:c r="G7" s="1163">
        <x:v>1</x:v>
      </x:c>
      <x:c r="H7" s="1164" t="s">
        <x:v>17</x:v>
      </x:c>
      <x:c r="I7" s="1165" t="s">
        <x:v>157</x:v>
      </x:c>
      <x:c r="J7" s="1166" t="n" cm="1">
        <x:f t="array" ref="J7">IFERROR(_xlfn.XLOOKUP(J$2,Pivot!$B$2:$EU$2,_xlfn.XLOOKUP($I7,Pivot!$A$11:$A$35,Pivot!$B$11:$EU$35),0,0),0)</x:f>
        <x:v>21667800</x:v>
      </x:c>
      <x:c r="K7" s="1166"/>
      <x:c r="L7" s="1166"/>
      <x:c r="M7" s="1166" t="n">
        <x:f>_xlfn.XLOOKUP(G7,'KASSA SOF'!$A$4:$A$22,'KASSA SOF'!$C$4:$C$22,0,0)</x:f>
        <x:v>3895101</x:v>
      </x:c>
      <x:c r="N7" s="1166"/>
      <x:c r="O7" s="1167"/>
      <x:c r="P7" s="415"/>
      <x:c r="Q7" s="415"/>
      <x:c r="R7" s="415"/>
      <x:c r="S7" s="415" t="str">
        <x:f>_xlfn.XLOOKUP(W7,$AH$7:$AH$26,$X$7:$X$26,"")</x:f>
        <x:v>Samarqand</x:v>
      </x:c>
      <x:c r="T7" s="415"/>
      <x:c r="U7" s="1168" t="n">
        <x:f t="shared" ref="U7:U26" si="1">_xlfn.XLOOKUP(W7,$AH$7:$AH$26,$AG$7:$AG$26,"")</x:f>
        <x:v>3</x:v>
      </x:c>
      <x:c r="V7" s="1168"/>
      <x:c r="W7" s="472">
        <x:v>1</x:v>
      </x:c>
      <x:c r="X7" s="469" t="s">
        <x:v>17</x:v>
      </x:c>
      <x:c r="Y7" s="1169" t="s">
        <x:v>157</x:v>
      </x:c>
      <x:c r="Z7" s="903" t="str">
        <x:f>_xlfn.LET(_xlpm.r, MATCH($I7, Pivot!$A$11:$A$35, 0),_xlpm.c, MATCH($C$1, Pivot!$B$2:$EU$2, 0),IFERROR(INDEX(Pivot!$B$11:$EU$35, _xlpm.r, _xlpm.c), 0))</x:f>
      </x:c>
      <x:c r="AA7" s="472" t="str">
        <x:f>_xlfn.LET(_xlpm.r, MATCH($I7, Pivot!$A$11:$A$35, 0),_xlpm.c, MATCH($C$2, Pivot!$B$2:$EU$2, 0),IFERROR(INDEX(Pivot!$B$11:$EU$35, _xlpm.r, _xlpm.c), 0))</x:f>
      </x:c>
      <x:c r="AB7" s="472" t="n">
        <x:f t="shared" ref="AB7:AB13" si="2">Z7+AA7</x:f>
        <x:v>0</x:v>
      </x:c>
      <x:c r="AC7" s="472" t="n">
        <x:f>IF(AB7&gt;0,1,0)</x:f>
        <x:v>0</x:v>
      </x:c>
      <x:c r="AD7" s="472"/>
      <x:c r="AE7" s="903" t="str">
        <x:f>_xlfn.LET(_xlpm.r, MATCH($I7, Pivot!$A$11:$A$35, 0),_xlpm.c, MATCH($T$1, Pivot!$B$2:$EU$2, 0),IFERROR(INDEX(Pivot!$B$11:$EU$35, _xlpm.r, _xlpm.c), 0))</x:f>
      </x:c>
      <x:c r="AF7" s="903" t="str">
        <x:f>_xlfn.LET(_xlpm.r, MATCH($I7, Pivot!$A$11:$A$35, 0),_xlpm.c, MATCH($T$2, Pivot!$B$2:$EU$2, 0),IFERROR(INDEX(Pivot!$B$11:$EU$35, _xlpm.r, _xlpm.c), 0))</x:f>
      </x:c>
      <x:c r="AG7" s="903" t="n">
        <x:f t="shared" ref="AG7:AG15" si="3">AE7+AF7</x:f>
        <x:v>0</x:v>
      </x:c>
      <x:c r="AH7" s="1170" t="n">
        <x:f>IF(AG7&gt;0,1,0)</x:f>
        <x:v>0</x:v>
      </x:c>
      <x:c r="AI7" s="415"/>
      <x:c r="AJ7" s="415"/>
      <x:c r="AK7" s="415"/>
      <x:c r="AL7" s="415"/>
      <x:c r="AM7" s="415"/>
      <x:c r="AN7" s="415"/>
      <x:c r="AO7" s="415"/>
      <x:c r="AP7" s="415"/>
      <x:c r="AQ7" s="415"/>
      <x:c r="AR7" s="415"/>
      <x:c r="AS7" s="415"/>
    </x:row>
    <x:row r="8" ht="22" customHeight="1">
      <x:c r="A8" s="480"/>
      <x:c r="B8" s="587" t="str">
        <x:f t="shared" ref="B8:B26" si="4">_xlfn.XLOOKUP(E8,$AC$7:$AC$26,$X$7:$X$26,"")</x:f>
        <x:v>Yunusobod</x:v>
      </x:c>
      <x:c r="C8" s="802">
        <x:f t="shared" si="0"/>
        <x:v>20</x:v>
      </x:c>
      <x:c r="D8" s="802"/>
      <x:c r="E8" s="1095">
        <x:v>2</x:v>
      </x:c>
      <x:c r="F8" s="447"/>
      <x:c r="G8" s="1096">
        <x:v>2</x:v>
      </x:c>
      <x:c r="H8" s="1097" t="s">
        <x:v>29</x:v>
      </x:c>
      <x:c r="I8" s="1098" t="s">
        <x:v>164</x:v>
      </x:c>
      <x:c r="J8" s="1099" t="n" cm="1">
        <x:f t="array" ref="J8">IFERROR(_xlfn.XLOOKUP(J$2,Pivot!$B$2:$EU$2,_xlfn.XLOOKUP($I8,Pivot!$A$11:$A$35,Pivot!$B$11:$EU$35),0,0),0)</x:f>
        <x:v>170087000</x:v>
      </x:c>
      <x:c r="K8" s="1099"/>
      <x:c r="L8" s="1099"/>
      <x:c r="M8" s="1099" t="n">
        <x:f>_xlfn.XLOOKUP(G8,'KASSA SOF'!$A$4:$A$22,'KASSA SOF'!$C$4:$C$22,0,0)</x:f>
        <x:v>4925400</x:v>
      </x:c>
      <x:c r="N8" s="1099"/>
      <x:c r="O8" s="1100"/>
      <x:c r="P8" s="383"/>
      <x:c r="Q8" s="383"/>
      <x:c r="R8" s="383"/>
      <x:c r="S8" s="587" t="str">
        <x:f t="shared" ref="S8:S26" si="5">_xlfn.XLOOKUP(W8,$AH$7:$AH$26,$X$7:$X$26,"")</x:f>
        <x:v>Xorazm</x:v>
      </x:c>
      <x:c r="T8" s="587"/>
      <x:c r="U8" s="1101">
        <x:f t="shared" si="1"/>
        <x:v>2</x:v>
      </x:c>
      <x:c r="V8" s="1101"/>
      <x:c r="W8" s="443">
        <x:v>2</x:v>
      </x:c>
      <x:c r="X8" s="447" t="s">
        <x:v>29</x:v>
      </x:c>
      <x:c r="Y8" s="1102" t="s">
        <x:v>164</x:v>
      </x:c>
      <x:c r="Z8" s="813" t="n">
        <x:f>_xlfn.LET(_xlpm.r, MATCH($I8, Pivot!$A$11:$A$35, 0),_xlpm.c, MATCH($C$1, Pivot!$B$2:$EU$2, 0),IFERROR(INDEX(Pivot!$B$11:$EU$35, _xlpm.r, _xlpm.c), 0))</x:f>
        <x:v>20</x:v>
      </x:c>
      <x:c r="AA8" s="443" t="str">
        <x:f>_xlfn.LET(_xlpm.r, MATCH($I8, Pivot!$A$11:$A$35, 0),_xlpm.c, MATCH($C$2, Pivot!$B$2:$EU$2, 0),IFERROR(INDEX(Pivot!$B$11:$EU$35, _xlpm.r, _xlpm.c), 0))</x:f>
      </x:c>
      <x:c r="AB8" s="443">
        <x:f t="shared" si="2"/>
        <x:v>20</x:v>
      </x:c>
      <x:c r="AC8" s="443" t="n">
        <x:f>IF(AB8&gt;0,MAX(AC7:$AC$7)+1,0)</x:f>
        <x:v>1</x:v>
      </x:c>
      <x:c r="AD8" s="443"/>
      <x:c r="AE8" s="813" t="str">
        <x:f>_xlfn.LET(_xlpm.r, MATCH($I8, Pivot!$A$11:$A$35, 0),_xlpm.c, MATCH($T$1, Pivot!$B$2:$EU$2, 0),IFERROR(INDEX(Pivot!$B$11:$EU$35, _xlpm.r, _xlpm.c), 0))</x:f>
      </x:c>
      <x:c r="AF8" s="813" t="str">
        <x:f>_xlfn.LET(_xlpm.r, MATCH($I8, Pivot!$A$11:$A$35, 0),_xlpm.c, MATCH($T$2, Pivot!$B$2:$EU$2, 0),IFERROR(INDEX(Pivot!$B$11:$EU$35, _xlpm.r, _xlpm.c), 0))</x:f>
      </x:c>
      <x:c r="AG8" s="813">
        <x:f t="shared" si="3"/>
        <x:v>0</x:v>
      </x:c>
      <x:c r="AH8" s="1103" t="n">
        <x:f>IF(AG8&gt;0,MAX($AH7:AH$7)+1,0)</x:f>
        <x:v>0</x:v>
      </x:c>
      <x:c r="AI8" s="383"/>
      <x:c r="AJ8" s="383"/>
      <x:c r="AK8" s="383"/>
      <x:c r="AL8" s="383"/>
      <x:c r="AM8" s="383"/>
      <x:c r="AN8" s="383"/>
      <x:c r="AO8" s="383"/>
      <x:c r="AP8" s="383"/>
      <x:c r="AQ8" s="383"/>
      <x:c r="AR8" s="383"/>
      <x:c r="AS8" s="383"/>
    </x:row>
    <x:row r="9" ht="22" customHeight="1">
      <x:c r="A9" s="479"/>
      <x:c r="B9" s="415" t="str">
        <x:f t="shared" si="4"/>
        <x:v>Samarqand</x:v>
      </x:c>
      <x:c r="C9" s="891">
        <x:f t="shared" si="0"/>
        <x:v>20</x:v>
      </x:c>
      <x:c r="D9" s="891"/>
      <x:c r="E9" s="1163">
        <x:v>3</x:v>
      </x:c>
      <x:c r="F9" s="469"/>
      <x:c r="G9" s="1163">
        <x:v>3</x:v>
      </x:c>
      <x:c r="H9" s="1164" t="s">
        <x:v>189</x:v>
      </x:c>
      <x:c r="I9" s="1165" t="s">
        <x:v>160</x:v>
      </x:c>
      <x:c r="J9" s="1166" t="n" cm="1">
        <x:f t="array" ref="J9">IFERROR(_xlfn.XLOOKUP(J$2,Pivot!$B$2:$EU$2,_xlfn.XLOOKUP($I9,Pivot!$A$11:$A$35,Pivot!$B$11:$EU$35),0,0),0)</x:f>
        <x:v>51599400</x:v>
      </x:c>
      <x:c r="K9" s="1166"/>
      <x:c r="L9" s="1166"/>
      <x:c r="M9" s="1166" t="n">
        <x:f>_xlfn.XLOOKUP(G9,'KASSA SOF'!$A$4:$A$22,'KASSA SOF'!$C$4:$C$22,0,0)</x:f>
        <x:v>874000</x:v>
      </x:c>
      <x:c r="N9" s="1166"/>
      <x:c r="O9" s="1167"/>
      <x:c r="P9" s="415"/>
      <x:c r="Q9" s="415"/>
      <x:c r="R9" s="415"/>
      <x:c r="S9" s="415" t="str">
        <x:f t="shared" si="5"/>
      </x:c>
      <x:c r="T9" s="415"/>
      <x:c r="U9" s="1168" t="str">
        <x:f t="shared" si="1"/>
      </x:c>
      <x:c r="V9" s="1168"/>
      <x:c r="W9" s="472">
        <x:v>3</x:v>
      </x:c>
      <x:c r="X9" s="469" t="s">
        <x:v>189</x:v>
      </x:c>
      <x:c r="Y9" s="1169" t="s">
        <x:v>160</x:v>
      </x:c>
      <x:c r="Z9" s="903" t="str">
        <x:f>_xlfn.LET(_xlpm.r, MATCH($I9, Pivot!$A$11:$A$35, 0),_xlpm.c, MATCH($C$1, Pivot!$B$2:$EU$2, 0),IFERROR(INDEX(Pivot!$B$11:$EU$35, _xlpm.r, _xlpm.c), 0))</x:f>
      </x:c>
      <x:c r="AA9" s="472" t="str">
        <x:f>_xlfn.LET(_xlpm.r, MATCH($I9, Pivot!$A$11:$A$35, 0),_xlpm.c, MATCH($C$2, Pivot!$B$2:$EU$2, 0),IFERROR(INDEX(Pivot!$B$11:$EU$35, _xlpm.r, _xlpm.c), 0))</x:f>
      </x:c>
      <x:c r="AB9" s="472">
        <x:f t="shared" si="2"/>
        <x:v>0</x:v>
      </x:c>
      <x:c r="AC9" s="472" t="n">
        <x:f>IF(AB9&gt;0,MAX(AC$7:$AC8)+1,0)</x:f>
        <x:v>0</x:v>
      </x:c>
      <x:c r="AD9" s="472"/>
      <x:c r="AE9" s="903" t="str">
        <x:f>_xlfn.LET(_xlpm.r, MATCH($I9, Pivot!$A$11:$A$35, 0),_xlpm.c, MATCH($T$1, Pivot!$B$2:$EU$2, 0),IFERROR(INDEX(Pivot!$B$11:$EU$35, _xlpm.r, _xlpm.c), 0))</x:f>
      </x:c>
      <x:c r="AF9" s="903" t="str">
        <x:f>_xlfn.LET(_xlpm.r, MATCH($I9, Pivot!$A$11:$A$35, 0),_xlpm.c, MATCH($T$2, Pivot!$B$2:$EU$2, 0),IFERROR(INDEX(Pivot!$B$11:$EU$35, _xlpm.r, _xlpm.c), 0))</x:f>
      </x:c>
      <x:c r="AG9" s="903">
        <x:f t="shared" si="3"/>
        <x:v>0</x:v>
      </x:c>
      <x:c r="AH9" s="1170" t="n">
        <x:f>IF(AG9&gt;0,MAX($AH$7:AH8)+1,0)</x:f>
        <x:v>0</x:v>
      </x:c>
      <x:c r="AI9" s="415"/>
      <x:c r="AJ9" s="415"/>
      <x:c r="AK9" s="415"/>
      <x:c r="AL9" s="415"/>
      <x:c r="AM9" s="415"/>
      <x:c r="AN9" s="415"/>
      <x:c r="AO9" s="415"/>
      <x:c r="AP9" s="415"/>
      <x:c r="AQ9" s="415"/>
      <x:c r="AR9" s="415"/>
      <x:c r="AS9" s="415"/>
    </x:row>
    <x:row r="10" ht="22" customHeight="1">
      <x:c r="A10" s="480"/>
      <x:c r="B10" s="587" t="str">
        <x:f t="shared" si="4"/>
        <x:v>Termiz</x:v>
      </x:c>
      <x:c r="C10" s="802">
        <x:f t="shared" si="0"/>
        <x:v>60</x:v>
      </x:c>
      <x:c r="D10" s="802"/>
      <x:c r="E10" s="1096">
        <x:v>4</x:v>
      </x:c>
      <x:c r="F10" s="447"/>
      <x:c r="G10" s="1096">
        <x:v>4</x:v>
      </x:c>
      <x:c r="H10" s="1097" t="s">
        <x:v>191</x:v>
      </x:c>
      <x:c r="I10" s="1098" t="s">
        <x:v>169</x:v>
      </x:c>
      <x:c r="J10" s="1099" t="n" cm="1">
        <x:f t="array" ref="J10">IFERROR(_xlfn.XLOOKUP(J$2,Pivot!$B$2:$EU$2,_xlfn.XLOOKUP($I10,Pivot!$A$11:$A$35,Pivot!$B$11:$EU$35),0,0),0)</x:f>
        <x:v>117445200</x:v>
      </x:c>
      <x:c r="K10" s="1099"/>
      <x:c r="L10" s="1099"/>
      <x:c r="M10" s="1099" t="n">
        <x:f>_xlfn.XLOOKUP(G10,'KASSA SOF'!$A$4:$A$22,'KASSA SOF'!$C$4:$C$22,0,0)</x:f>
        <x:v>4318400</x:v>
      </x:c>
      <x:c r="N10" s="1099"/>
      <x:c r="O10" s="1100"/>
      <x:c r="P10" s="383"/>
      <x:c r="Q10" s="383"/>
      <x:c r="R10" s="383"/>
      <x:c r="S10" s="587" t="str">
        <x:f t="shared" si="5"/>
      </x:c>
      <x:c r="T10" s="587"/>
      <x:c r="U10" s="1101" t="str">
        <x:f t="shared" si="1"/>
      </x:c>
      <x:c r="V10" s="1101"/>
      <x:c r="W10" s="443">
        <x:v>4</x:v>
      </x:c>
      <x:c r="X10" s="447" t="s">
        <x:v>191</x:v>
      </x:c>
      <x:c r="Y10" s="1102" t="s">
        <x:v>169</x:v>
      </x:c>
      <x:c r="Z10" s="813" t="str">
        <x:f>_xlfn.LET(_xlpm.r, MATCH($I10, Pivot!$A$11:$A$35, 0),_xlpm.c, MATCH($C$1, Pivot!$B$2:$EU$2, 0),IFERROR(INDEX(Pivot!$B$11:$EU$35, _xlpm.r, _xlpm.c), 0))</x:f>
      </x:c>
      <x:c r="AA10" s="443" t="str">
        <x:f>_xlfn.LET(_xlpm.r, MATCH($I10, Pivot!$A$11:$A$35, 0),_xlpm.c, MATCH($C$2, Pivot!$B$2:$EU$2, 0),IFERROR(INDEX(Pivot!$B$11:$EU$35, _xlpm.r, _xlpm.c), 0))</x:f>
      </x:c>
      <x:c r="AB10" s="443">
        <x:f t="shared" si="2"/>
        <x:v>0</x:v>
      </x:c>
      <x:c r="AC10" s="443" t="n">
        <x:f>IF(AB10&gt;0,MAX(AC$7:$AC9)+1,0)</x:f>
        <x:v>0</x:v>
      </x:c>
      <x:c r="AD10" s="443"/>
      <x:c r="AE10" s="813" t="str">
        <x:f>_xlfn.LET(_xlpm.r, MATCH($I10, Pivot!$A$11:$A$35, 0),_xlpm.c, MATCH($T$1, Pivot!$B$2:$EU$2, 0),IFERROR(INDEX(Pivot!$B$11:$EU$35, _xlpm.r, _xlpm.c), 0))</x:f>
      </x:c>
      <x:c r="AF10" s="813" t="str">
        <x:f>_xlfn.LET(_xlpm.r, MATCH($I10, Pivot!$A$11:$A$35, 0),_xlpm.c, MATCH($T$2, Pivot!$B$2:$EU$2, 0),IFERROR(INDEX(Pivot!$B$11:$EU$35, _xlpm.r, _xlpm.c), 0))</x:f>
      </x:c>
      <x:c r="AG10" s="813">
        <x:f t="shared" si="3"/>
        <x:v>0</x:v>
      </x:c>
      <x:c r="AH10" s="1103" t="n">
        <x:f>IF(AG10&gt;0,MAX($AH$7:AH9)+1,0)</x:f>
        <x:v>0</x:v>
      </x:c>
      <x:c r="AI10" s="383"/>
      <x:c r="AJ10" s="383"/>
      <x:c r="AK10" s="383"/>
      <x:c r="AL10" s="383"/>
      <x:c r="AM10" s="383"/>
      <x:c r="AN10" s="383"/>
      <x:c r="AO10" s="383"/>
      <x:c r="AP10" s="383"/>
      <x:c r="AQ10" s="383"/>
      <x:c r="AR10" s="383"/>
      <x:c r="AS10" s="383"/>
    </x:row>
    <x:row r="11" ht="22" customHeight="1">
      <x:c r="A11" s="479"/>
      <x:c r="B11" s="415" t="str">
        <x:f t="shared" si="4"/>
      </x:c>
      <x:c r="C11" s="891" t="str">
        <x:f t="shared" si="0"/>
      </x:c>
      <x:c r="D11" s="891"/>
      <x:c r="E11" s="1163">
        <x:v>5</x:v>
      </x:c>
      <x:c r="F11" s="469"/>
      <x:c r="G11" s="1163">
        <x:v>5</x:v>
      </x:c>
      <x:c r="H11" s="1164" t="s">
        <x:v>51</x:v>
      </x:c>
      <x:c r="I11" s="1165" t="s">
        <x:v>175</x:v>
      </x:c>
      <x:c r="J11" s="1166" t="n" cm="1">
        <x:f t="array" ref="J11">IFERROR(_xlfn.XLOOKUP(J$2,Pivot!$B$2:$EU$2,_xlfn.XLOOKUP($I11,Pivot!$A$11:$A$35,Pivot!$B$11:$EU$35),0,0),0)</x:f>
        <x:v>30269000</x:v>
      </x:c>
      <x:c r="K11" s="1166"/>
      <x:c r="L11" s="1166"/>
      <x:c r="M11" s="1166" t="n">
        <x:f>_xlfn.XLOOKUP(G11,'KASSA SOF'!$A$4:$A$22,'KASSA SOF'!$C$4:$C$22,0,0)</x:f>
        <x:v>279000</x:v>
      </x:c>
      <x:c r="N11" s="1166"/>
      <x:c r="O11" s="1167"/>
      <x:c r="P11" s="415"/>
      <x:c r="Q11" s="415"/>
      <x:c r="R11" s="415"/>
      <x:c r="S11" s="415" t="str">
        <x:f t="shared" si="5"/>
      </x:c>
      <x:c r="T11" s="415"/>
      <x:c r="U11" s="1168" t="str">
        <x:f t="shared" si="1"/>
      </x:c>
      <x:c r="V11" s="1168"/>
      <x:c r="W11" s="472">
        <x:v>5</x:v>
      </x:c>
      <x:c r="X11" s="469" t="s">
        <x:v>51</x:v>
      </x:c>
      <x:c r="Y11" s="1169" t="s">
        <x:v>175</x:v>
      </x:c>
      <x:c r="Z11" s="903" t="str">
        <x:f>_xlfn.LET(_xlpm.r, MATCH($I11, Pivot!$A$11:$A$35, 0),_xlpm.c, MATCH($C$1, Pivot!$B$2:$EU$2, 0),IFERROR(INDEX(Pivot!$B$11:$EU$35, _xlpm.r, _xlpm.c), 0))</x:f>
      </x:c>
      <x:c r="AA11" s="472" t="n">
        <x:f>_xlfn.LET(_xlpm.r, MATCH($I11, Pivot!$A$11:$A$35, 0),_xlpm.c, MATCH($C$2, Pivot!$B$2:$EU$2, 0),IFERROR(INDEX(Pivot!$B$11:$EU$35, _xlpm.r, _xlpm.c), 0))</x:f>
        <x:v>20</x:v>
      </x:c>
      <x:c r="AB11" s="472">
        <x:f t="shared" si="2"/>
        <x:v>20</x:v>
      </x:c>
      <x:c r="AC11" s="472" t="n">
        <x:f>IF(AB11&gt;0,MAX(AC$7:$AC10)+1,0)</x:f>
        <x:v>2</x:v>
      </x:c>
      <x:c r="AD11" s="472"/>
      <x:c r="AE11" s="903" t="str">
        <x:f>_xlfn.LET(_xlpm.r, MATCH($I11, Pivot!$A$11:$A$35, 0),_xlpm.c, MATCH($T$1, Pivot!$B$2:$EU$2, 0),IFERROR(INDEX(Pivot!$B$11:$EU$35, _xlpm.r, _xlpm.c), 0))</x:f>
      </x:c>
      <x:c r="AF11" s="903" t="str">
        <x:f>_xlfn.LET(_xlpm.r, MATCH($I11, Pivot!$A$11:$A$35, 0),_xlpm.c, MATCH($T$2, Pivot!$B$2:$EU$2, 0),IFERROR(INDEX(Pivot!$B$11:$EU$35, _xlpm.r, _xlpm.c), 0))</x:f>
      </x:c>
      <x:c r="AG11" s="903">
        <x:f t="shared" si="3"/>
        <x:v>0</x:v>
      </x:c>
      <x:c r="AH11" s="1170" t="n">
        <x:f>IF(AG11&gt;0,MAX($AH$7:AH10)+1,0)</x:f>
        <x:v>0</x:v>
      </x:c>
      <x:c r="AI11" s="415"/>
      <x:c r="AJ11" s="415"/>
      <x:c r="AK11" s="415"/>
      <x:c r="AL11" s="415"/>
      <x:c r="AM11" s="415"/>
      <x:c r="AN11" s="415"/>
      <x:c r="AO11" s="415"/>
      <x:c r="AP11" s="415"/>
      <x:c r="AQ11" s="415"/>
      <x:c r="AR11" s="415"/>
      <x:c r="AS11" s="415"/>
    </x:row>
    <x:row r="12" ht="22" customHeight="1">
      <x:c r="A12" s="480"/>
      <x:c r="B12" s="587" t="str">
        <x:f t="shared" si="4"/>
      </x:c>
      <x:c r="C12" s="802" t="str">
        <x:f t="shared" si="0"/>
      </x:c>
      <x:c r="D12" s="802"/>
      <x:c r="E12" s="1096">
        <x:v>6</x:v>
      </x:c>
      <x:c r="F12" s="447"/>
      <x:c r="G12" s="1096">
        <x:v>7</x:v>
      </x:c>
      <x:c r="H12" s="1097" t="s">
        <x:v>43</x:v>
      </x:c>
      <x:c r="I12" s="1098" t="s">
        <x:v>171</x:v>
      </x:c>
      <x:c r="J12" s="1099" t="n" cm="1">
        <x:f t="array" ref="J12">IFERROR(_xlfn.XLOOKUP(J$2,Pivot!$B$2:$EU$2,_xlfn.XLOOKUP($I12,Pivot!$A$11:$A$35,Pivot!$B$11:$EU$35),0,0),0)</x:f>
        <x:v>51515200</x:v>
      </x:c>
      <x:c r="K12" s="1099"/>
      <x:c r="L12" s="1099"/>
      <x:c r="M12" s="1099" t="n">
        <x:f>_xlfn.XLOOKUP(G12,'KASSA SOF'!$A$4:$A$22,'KASSA SOF'!$C$4:$C$22,0,0)</x:f>
        <x:v>445600</x:v>
      </x:c>
      <x:c r="N12" s="1099"/>
      <x:c r="O12" s="1100"/>
      <x:c r="P12" s="383"/>
      <x:c r="Q12" s="383"/>
      <x:c r="R12" s="383"/>
      <x:c r="S12" s="587" t="str">
        <x:f t="shared" si="5"/>
      </x:c>
      <x:c r="T12" s="587"/>
      <x:c r="U12" s="1101" t="str">
        <x:f t="shared" si="1"/>
      </x:c>
      <x:c r="V12" s="1101"/>
      <x:c r="W12" s="443">
        <x:v>6</x:v>
      </x:c>
      <x:c r="X12" s="447" t="s">
        <x:v>43</x:v>
      </x:c>
      <x:c r="Y12" s="1102" t="s">
        <x:v>171</x:v>
      </x:c>
      <x:c r="Z12" s="813" t="str">
        <x:f>_xlfn.LET(_xlpm.r, MATCH($I12, Pivot!$A$11:$A$35, 0),_xlpm.c, MATCH($C$1, Pivot!$B$2:$EU$2, 0),IFERROR(INDEX(Pivot!$B$11:$EU$35, _xlpm.r, _xlpm.c), 0))</x:f>
      </x:c>
      <x:c r="AA12" s="443" t="str">
        <x:f>_xlfn.LET(_xlpm.r, MATCH($I12, Pivot!$A$11:$A$35, 0),_xlpm.c, MATCH($C$2, Pivot!$B$2:$EU$2, 0),IFERROR(INDEX(Pivot!$B$11:$EU$35, _xlpm.r, _xlpm.c), 0))</x:f>
      </x:c>
      <x:c r="AB12" s="443">
        <x:f t="shared" si="2"/>
        <x:v>0</x:v>
      </x:c>
      <x:c r="AC12" s="443" t="n">
        <x:f>IF(AB12&gt;0,MAX(AC$7:$AC11)+1,0)</x:f>
        <x:v>0</x:v>
      </x:c>
      <x:c r="AD12" s="443"/>
      <x:c r="AE12" s="813" t="str">
        <x:f>_xlfn.LET(_xlpm.r, MATCH($I12, Pivot!$A$11:$A$35, 0),_xlpm.c, MATCH($T$1, Pivot!$B$2:$EU$2, 0),IFERROR(INDEX(Pivot!$B$11:$EU$35, _xlpm.r, _xlpm.c), 0))</x:f>
      </x:c>
      <x:c r="AF12" s="813" t="str">
        <x:f>_xlfn.LET(_xlpm.r, MATCH($I12, Pivot!$A$11:$A$35, 0),_xlpm.c, MATCH($T$2, Pivot!$B$2:$EU$2, 0),IFERROR(INDEX(Pivot!$B$11:$EU$35, _xlpm.r, _xlpm.c), 0))</x:f>
      </x:c>
      <x:c r="AG12" s="813">
        <x:f t="shared" si="3"/>
        <x:v>0</x:v>
      </x:c>
      <x:c r="AH12" s="1103" t="n">
        <x:f>IF(AG12&gt;0,MAX($AH$7:AH11)+1,0)</x:f>
        <x:v>0</x:v>
      </x:c>
      <x:c r="AI12" s="383"/>
      <x:c r="AJ12" s="383"/>
      <x:c r="AK12" s="383"/>
      <x:c r="AL12" s="383"/>
      <x:c r="AM12" s="383"/>
      <x:c r="AN12" s="383"/>
      <x:c r="AO12" s="383"/>
      <x:c r="AP12" s="383"/>
      <x:c r="AQ12" s="383"/>
      <x:c r="AR12" s="383"/>
      <x:c r="AS12" s="383"/>
    </x:row>
    <x:row r="13" ht="22" customHeight="1">
      <x:c r="A13" s="479"/>
      <x:c r="B13" s="415" t="str">
        <x:f t="shared" si="4"/>
      </x:c>
      <x:c r="C13" s="891" t="str">
        <x:f t="shared" si="0"/>
      </x:c>
      <x:c r="D13" s="891"/>
      <x:c r="E13" s="1163">
        <x:v>7</x:v>
      </x:c>
      <x:c r="F13" s="469"/>
      <x:c r="G13" s="1163">
        <x:v>8</x:v>
      </x:c>
      <x:c r="H13" s="1164" t="s">
        <x:v>35</x:v>
      </x:c>
      <x:c r="I13" s="1165" t="s">
        <x:v>167</x:v>
      </x:c>
      <x:c r="J13" s="1166" t="n" cm="1">
        <x:f t="array" ref="J13">IFERROR(_xlfn.XLOOKUP(J$2,Pivot!$B$2:$EU$2,_xlfn.XLOOKUP($I13,Pivot!$A$11:$A$35,Pivot!$B$11:$EU$35),0,0),0)</x:f>
        <x:v>16375800</x:v>
      </x:c>
      <x:c r="K13" s="1166"/>
      <x:c r="L13" s="1166"/>
      <x:c r="M13" s="1166" t="n">
        <x:f>_xlfn.XLOOKUP(G13,'KASSA SOF'!$A$4:$A$22,'KASSA SOF'!$C$4:$C$22,0,0)</x:f>
        <x:v>0</x:v>
      </x:c>
      <x:c r="N13" s="1166"/>
      <x:c r="O13" s="1167"/>
      <x:c r="P13" s="415"/>
      <x:c r="Q13" s="415"/>
      <x:c r="R13" s="415"/>
      <x:c r="S13" s="415" t="str">
        <x:f t="shared" si="5"/>
      </x:c>
      <x:c r="T13" s="415"/>
      <x:c r="U13" s="1168" t="str">
        <x:f t="shared" si="1"/>
      </x:c>
      <x:c r="V13" s="1168"/>
      <x:c r="W13" s="472">
        <x:v>7</x:v>
      </x:c>
      <x:c r="X13" s="469" t="s">
        <x:v>35</x:v>
      </x:c>
      <x:c r="Y13" s="1169" t="s">
        <x:v>167</x:v>
      </x:c>
      <x:c r="Z13" s="903" t="str">
        <x:f>_xlfn.LET(_xlpm.r, MATCH($I13, Pivot!$A$11:$A$35, 0),_xlpm.c, MATCH($C$1, Pivot!$B$2:$EU$2, 0),IFERROR(INDEX(Pivot!$B$11:$EU$35, _xlpm.r, _xlpm.c), 0))</x:f>
      </x:c>
      <x:c r="AA13" s="472" t="str">
        <x:f>_xlfn.LET(_xlpm.r, MATCH($I13, Pivot!$A$11:$A$35, 0),_xlpm.c, MATCH($C$2, Pivot!$B$2:$EU$2, 0),IFERROR(INDEX(Pivot!$B$11:$EU$35, _xlpm.r, _xlpm.c), 0))</x:f>
      </x:c>
      <x:c r="AB13" s="472">
        <x:f t="shared" si="2"/>
        <x:v>0</x:v>
      </x:c>
      <x:c r="AC13" s="472" t="n">
        <x:f>IF(AB13&gt;0,MAX(AC$7:$AC12)+1,0)</x:f>
        <x:v>0</x:v>
      </x:c>
      <x:c r="AD13" s="472"/>
      <x:c r="AE13" s="903" t="str">
        <x:f>_xlfn.LET(_xlpm.r, MATCH($I13, Pivot!$A$11:$A$35, 0),_xlpm.c, MATCH($T$1, Pivot!$B$2:$EU$2, 0),IFERROR(INDEX(Pivot!$B$11:$EU$35, _xlpm.r, _xlpm.c), 0))</x:f>
      </x:c>
      <x:c r="AF13" s="903" t="str">
        <x:f>_xlfn.LET(_xlpm.r, MATCH($I13, Pivot!$A$11:$A$35, 0),_xlpm.c, MATCH($T$2, Pivot!$B$2:$EU$2, 0),IFERROR(INDEX(Pivot!$B$11:$EU$35, _xlpm.r, _xlpm.c), 0))</x:f>
      </x:c>
      <x:c r="AG13" s="903">
        <x:f t="shared" si="3"/>
        <x:v>0</x:v>
      </x:c>
      <x:c r="AH13" s="1170" t="n">
        <x:f>IF(AG13&gt;0,MAX($AH$7:AH12)+1,0)</x:f>
        <x:v>0</x:v>
      </x:c>
      <x:c r="AI13" s="415"/>
      <x:c r="AJ13" s="415"/>
      <x:c r="AK13" s="415"/>
      <x:c r="AL13" s="415"/>
      <x:c r="AM13" s="415"/>
      <x:c r="AN13" s="415"/>
      <x:c r="AO13" s="415"/>
      <x:c r="AP13" s="415"/>
      <x:c r="AQ13" s="415"/>
      <x:c r="AR13" s="415"/>
      <x:c r="AS13" s="415"/>
    </x:row>
    <x:row r="14" ht="22" customHeight="1">
      <x:c r="A14" s="480"/>
      <x:c r="B14" s="587" t="str">
        <x:f t="shared" si="4"/>
      </x:c>
      <x:c r="C14" s="802" t="str">
        <x:f t="shared" si="0"/>
      </x:c>
      <x:c r="D14" s="802"/>
      <x:c r="E14" s="1096">
        <x:v>8</x:v>
      </x:c>
      <x:c r="F14" s="447"/>
      <x:c r="G14" s="1096">
        <x:v>9</x:v>
      </x:c>
      <x:c r="H14" s="1097" t="s">
        <x:v>196</x:v>
      </x:c>
      <x:c r="I14" s="1098" t="s">
        <x:v>162</x:v>
      </x:c>
      <x:c r="J14" s="1099" t="n" cm="1">
        <x:f t="array" ref="J14">IFERROR(_xlfn.XLOOKUP(J$2,Pivot!$B$2:$EU$2,_xlfn.XLOOKUP($I14,Pivot!$A$11:$A$35,Pivot!$B$11:$EU$35),0,0),0)</x:f>
        <x:v>75620800</x:v>
      </x:c>
      <x:c r="K14" s="1099"/>
      <x:c r="L14" s="1099"/>
      <x:c r="M14" s="1099" t="n">
        <x:f>_xlfn.XLOOKUP(G14,'KASSA SOF'!$A$4:$A$22,'KASSA SOF'!$C$4:$C$22,0,0)</x:f>
        <x:v>1468000</x:v>
      </x:c>
      <x:c r="N14" s="1099"/>
      <x:c r="O14" s="1100"/>
      <x:c r="P14" s="383"/>
      <x:c r="Q14" s="383"/>
      <x:c r="R14" s="383"/>
      <x:c r="S14" s="587" t="str">
        <x:f t="shared" si="5"/>
      </x:c>
      <x:c r="T14" s="587"/>
      <x:c r="U14" s="1101" t="str">
        <x:f t="shared" si="1"/>
      </x:c>
      <x:c r="V14" s="1101"/>
      <x:c r="W14" s="443">
        <x:v>8</x:v>
      </x:c>
      <x:c r="X14" s="447" t="s">
        <x:v>196</x:v>
      </x:c>
      <x:c r="Y14" s="1102" t="s">
        <x:v>162</x:v>
      </x:c>
      <x:c r="Z14" s="813" t="str">
        <x:f>_xlfn.LET(_xlpm.r, MATCH($I14, Pivot!$A$11:$A$35, 0),_xlpm.c, MATCH($C$1, Pivot!$B$2:$EU$2, 0),IFERROR(INDEX(Pivot!$B$11:$EU$35, _xlpm.r, _xlpm.c), 0))</x:f>
      </x:c>
      <x:c r="AA14" s="443" t="str">
        <x:f>_xlfn.LET(_xlpm.r, MATCH($I14, Pivot!$A$11:$A$35, 0),_xlpm.c, MATCH($C$2, Pivot!$B$2:$EU$2, 0),IFERROR(INDEX(Pivot!$B$11:$EU$35, _xlpm.r, _xlpm.c), 0))</x:f>
      </x:c>
      <x:c r="AB14" s="443" t="n">
        <x:f t="shared" ref="AB14:AB26" si="6">Z14+AA14</x:f>
        <x:v>0</x:v>
      </x:c>
      <x:c r="AC14" s="443" t="n">
        <x:f>IF(AB14&gt;0,MAX(AC$7:$AC13)+1,0)</x:f>
        <x:v>0</x:v>
      </x:c>
      <x:c r="AD14" s="443"/>
      <x:c r="AE14" s="813" t="str">
        <x:f>_xlfn.LET(_xlpm.r, MATCH($I14, Pivot!$A$11:$A$35, 0),_xlpm.c, MATCH($T$1, Pivot!$B$2:$EU$2, 0),IFERROR(INDEX(Pivot!$B$11:$EU$35, _xlpm.r, _xlpm.c), 0))</x:f>
      </x:c>
      <x:c r="AF14" s="813" t="str">
        <x:f>_xlfn.LET(_xlpm.r, MATCH($I14, Pivot!$A$11:$A$35, 0),_xlpm.c, MATCH($T$2, Pivot!$B$2:$EU$2, 0),IFERROR(INDEX(Pivot!$B$11:$EU$35, _xlpm.r, _xlpm.c), 0))</x:f>
      </x:c>
      <x:c r="AG14" s="813">
        <x:f t="shared" si="3"/>
        <x:v>0</x:v>
      </x:c>
      <x:c r="AH14" s="1103" t="n">
        <x:f>IF(AG14&gt;0,MAX($AH$7:AH13)+1,0)</x:f>
        <x:v>0</x:v>
      </x:c>
      <x:c r="AI14" s="383"/>
      <x:c r="AJ14" s="383"/>
      <x:c r="AK14" s="383"/>
      <x:c r="AL14" s="383"/>
      <x:c r="AM14" s="383"/>
      <x:c r="AN14" s="383"/>
      <x:c r="AO14" s="383"/>
      <x:c r="AP14" s="383"/>
      <x:c r="AQ14" s="383"/>
      <x:c r="AR14" s="383"/>
      <x:c r="AS14" s="383"/>
    </x:row>
    <x:row r="15" ht="22" customHeight="1">
      <x:c r="A15" s="479"/>
      <x:c r="B15" s="415" t="str">
        <x:f t="shared" si="4"/>
      </x:c>
      <x:c r="C15" s="891" t="str">
        <x:f t="shared" si="0"/>
      </x:c>
      <x:c r="D15" s="891"/>
      <x:c r="E15" s="1163">
        <x:v>9</x:v>
      </x:c>
      <x:c r="F15" s="469"/>
      <x:c r="G15" s="1163">
        <x:v>10</x:v>
      </x:c>
      <x:c r="H15" s="1164" t="s">
        <x:v>25</x:v>
      </x:c>
      <x:c r="I15" s="1165" t="s">
        <x:v>161</x:v>
      </x:c>
      <x:c r="J15" s="1166" t="n" cm="1">
        <x:f t="array" ref="J15">IFERROR(_xlfn.XLOOKUP(J$2,Pivot!$B$2:$EU$2,_xlfn.XLOOKUP($I15,Pivot!$A$11:$A$35,Pivot!$B$11:$EU$35),0,0),0)</x:f>
        <x:v>94386000</x:v>
      </x:c>
      <x:c r="K15" s="1166"/>
      <x:c r="L15" s="1166"/>
      <x:c r="M15" s="1166" t="n">
        <x:f>_xlfn.XLOOKUP(G15,'KASSA SOF'!$A$4:$A$22,'KASSA SOF'!$C$4:$C$22,0,0)</x:f>
        <x:v>25034400</x:v>
      </x:c>
      <x:c r="N15" s="1166"/>
      <x:c r="O15" s="1167"/>
      <x:c r="P15" s="415"/>
      <x:c r="Q15" s="469" t="s">
        <x:v>297</x:v>
      </x:c>
      <x:c r="R15" s="415"/>
      <x:c r="S15" s="415" t="str">
        <x:f t="shared" si="5"/>
      </x:c>
      <x:c r="T15" s="415"/>
      <x:c r="U15" s="1168" t="str">
        <x:f t="shared" si="1"/>
      </x:c>
      <x:c r="V15" s="1168"/>
      <x:c r="W15" s="472">
        <x:v>9</x:v>
      </x:c>
      <x:c r="X15" s="469" t="s">
        <x:v>25</x:v>
      </x:c>
      <x:c r="Y15" s="1169" t="s">
        <x:v>161</x:v>
      </x:c>
      <x:c r="Z15" s="903" t="str">
        <x:f>_xlfn.LET(_xlpm.r, MATCH($I15, Pivot!$A$11:$A$35, 0),_xlpm.c, MATCH($C$1, Pivot!$B$2:$EU$2, 0),IFERROR(INDEX(Pivot!$B$11:$EU$35, _xlpm.r, _xlpm.c), 0))</x:f>
      </x:c>
      <x:c r="AA15" s="472" t="str">
        <x:f>_xlfn.LET(_xlpm.r, MATCH($I15, Pivot!$A$11:$A$35, 0),_xlpm.c, MATCH($C$2, Pivot!$B$2:$EU$2, 0),IFERROR(INDEX(Pivot!$B$11:$EU$35, _xlpm.r, _xlpm.c), 0))</x:f>
      </x:c>
      <x:c r="AB15" s="472">
        <x:f t="shared" si="6"/>
        <x:v>0</x:v>
      </x:c>
      <x:c r="AC15" s="472" t="n">
        <x:f>IF(AB15&gt;0,MAX(AC$7:$AC14)+1,0)</x:f>
        <x:v>0</x:v>
      </x:c>
      <x:c r="AD15" s="472"/>
      <x:c r="AE15" s="903" t="str">
        <x:f>_xlfn.LET(_xlpm.r, MATCH($I15, Pivot!$A$11:$A$35, 0),_xlpm.c, MATCH($T$1, Pivot!$B$2:$EU$2, 0),IFERROR(INDEX(Pivot!$B$11:$EU$35, _xlpm.r, _xlpm.c), 0))</x:f>
      </x:c>
      <x:c r="AF15" s="903" t="str">
        <x:f>_xlfn.LET(_xlpm.r, MATCH($I15, Pivot!$A$11:$A$35, 0),_xlpm.c, MATCH($T$2, Pivot!$B$2:$EU$2, 0),IFERROR(INDEX(Pivot!$B$11:$EU$35, _xlpm.r, _xlpm.c), 0))</x:f>
      </x:c>
      <x:c r="AG15" s="903">
        <x:f t="shared" si="3"/>
        <x:v>0</x:v>
      </x:c>
      <x:c r="AH15" s="1170" t="n">
        <x:f>IF(AG15&gt;0,MAX($AH$7:AH14)+1,0)</x:f>
        <x:v>0</x:v>
      </x:c>
      <x:c r="AI15" s="415"/>
      <x:c r="AJ15" s="415"/>
      <x:c r="AK15" s="415"/>
      <x:c r="AL15" s="415"/>
      <x:c r="AM15" s="415"/>
      <x:c r="AN15" s="415"/>
      <x:c r="AO15" s="415"/>
      <x:c r="AP15" s="415"/>
      <x:c r="AQ15" s="415"/>
      <x:c r="AR15" s="415"/>
      <x:c r="AS15" s="415"/>
    </x:row>
    <x:row r="16" ht="22" customHeight="1">
      <x:c r="A16" s="480"/>
      <x:c r="B16" s="587" t="str">
        <x:f t="shared" si="4"/>
      </x:c>
      <x:c r="C16" s="802" t="str">
        <x:f t="shared" si="0"/>
      </x:c>
      <x:c r="D16" s="802"/>
      <x:c r="E16" s="1096">
        <x:v>10</x:v>
      </x:c>
      <x:c r="F16" s="447"/>
      <x:c r="G16" s="1096">
        <x:v>11</x:v>
      </x:c>
      <x:c r="H16" s="1097" t="s">
        <x:v>41</x:v>
      </x:c>
      <x:c r="I16" s="1098" t="s">
        <x:v>170</x:v>
      </x:c>
      <x:c r="J16" s="1099" t="n" cm="1">
        <x:f t="array" ref="J16">IFERROR(_xlfn.XLOOKUP(J$2,Pivot!$B$2:$EU$2,_xlfn.XLOOKUP($I16,Pivot!$A$11:$A$35,Pivot!$B$11:$EU$35),0,0),0)</x:f>
        <x:v>194383000</x:v>
      </x:c>
      <x:c r="K16" s="1099"/>
      <x:c r="L16" s="1099"/>
      <x:c r="M16" s="1099" t="n">
        <x:f>_xlfn.XLOOKUP(G16,'KASSA SOF'!$A$4:$A$22,'KASSA SOF'!$C$4:$C$22,0,0)</x:f>
        <x:v>2152000</x:v>
      </x:c>
      <x:c r="N16" s="1099"/>
      <x:c r="O16" s="1100"/>
      <x:c r="P16" s="383"/>
      <x:c r="Q16" s="383"/>
      <x:c r="R16" s="383"/>
      <x:c r="S16" s="587" t="str">
        <x:f t="shared" si="5"/>
      </x:c>
      <x:c r="T16" s="587"/>
      <x:c r="U16" s="1101" t="str">
        <x:f t="shared" si="1"/>
      </x:c>
      <x:c r="V16" s="1101"/>
      <x:c r="W16" s="443">
        <x:v>10</x:v>
      </x:c>
      <x:c r="X16" s="447" t="s">
        <x:v>41</x:v>
      </x:c>
      <x:c r="Y16" s="1102" t="s">
        <x:v>170</x:v>
      </x:c>
      <x:c r="Z16" s="813" t="n">
        <x:f>_xlfn.LET(_xlpm.r, MATCH($I16, Pivot!$A$11:$A$35, 0),_xlpm.c, MATCH($C$1, Pivot!$B$2:$EU$2, 0),IFERROR(INDEX(Pivot!$B$11:$EU$35, _xlpm.r, _xlpm.c), 0))</x:f>
        <x:v>10</x:v>
      </x:c>
      <x:c r="AA16" s="443" t="n">
        <x:f>_xlfn.LET(_xlpm.r, MATCH($I16, Pivot!$A$11:$A$35, 0),_xlpm.c, MATCH($C$2, Pivot!$B$2:$EU$2, 0),IFERROR(INDEX(Pivot!$B$11:$EU$35, _xlpm.r, _xlpm.c), 0))</x:f>
        <x:v>10</x:v>
      </x:c>
      <x:c r="AB16" s="443">
        <x:f t="shared" si="6"/>
        <x:v>20</x:v>
      </x:c>
      <x:c r="AC16" s="443" t="n">
        <x:f>IF(AB16&gt;0,MAX(AC$7:$AC15)+1,0)</x:f>
        <x:v>3</x:v>
      </x:c>
      <x:c r="AD16" s="443"/>
      <x:c r="AE16" s="813" t="n">
        <x:f>_xlfn.LET(_xlpm.r, MATCH($I16, Pivot!$A$11:$A$35, 0),_xlpm.c, MATCH($T$1, Pivot!$B$2:$EU$2, 0),IFERROR(INDEX(Pivot!$B$11:$EU$35, _xlpm.r, _xlpm.c), 0))</x:f>
        <x:v>2</x:v>
      </x:c>
      <x:c r="AF16" s="813" t="n">
        <x:f>_xlfn.LET(_xlpm.r, MATCH($I16, Pivot!$A$11:$A$35, 0),_xlpm.c, MATCH($T$2, Pivot!$B$2:$EU$2, 0),IFERROR(INDEX(Pivot!$B$11:$EU$35, _xlpm.r, _xlpm.c), 0))</x:f>
        <x:v>1</x:v>
      </x:c>
      <x:c r="AG16" s="813" t="n">
        <x:f t="shared" ref="AG16:AG26" si="7">AE16+AF16</x:f>
        <x:v>3</x:v>
      </x:c>
      <x:c r="AH16" s="1103" t="n">
        <x:f>IF(AG16&gt;0,MAX($AH$7:AH15)+1,0)</x:f>
        <x:v>1</x:v>
      </x:c>
      <x:c r="AI16" s="383"/>
      <x:c r="AJ16" s="383"/>
      <x:c r="AK16" s="383"/>
      <x:c r="AL16" s="383"/>
      <x:c r="AM16" s="383"/>
      <x:c r="AN16" s="383"/>
      <x:c r="AO16" s="383"/>
      <x:c r="AP16" s="383"/>
      <x:c r="AQ16" s="383"/>
      <x:c r="AR16" s="383"/>
      <x:c r="AS16" s="383"/>
    </x:row>
    <x:row r="17" ht="22" customHeight="1">
      <x:c r="A17" s="479"/>
      <x:c r="B17" s="415" t="str">
        <x:f t="shared" si="4"/>
      </x:c>
      <x:c r="C17" s="891" t="str">
        <x:f t="shared" si="0"/>
      </x:c>
      <x:c r="D17" s="891"/>
      <x:c r="E17" s="1163">
        <x:v>11</x:v>
      </x:c>
      <x:c r="F17" s="469"/>
      <x:c r="G17" s="1163">
        <x:v>12</x:v>
      </x:c>
      <x:c r="H17" s="1164" t="s">
        <x:v>199</x:v>
      </x:c>
      <x:c r="I17" s="1165" t="s">
        <x:v>163</x:v>
      </x:c>
      <x:c r="J17" s="1166" t="n" cm="1">
        <x:f t="array" ref="J17">IFERROR(_xlfn.XLOOKUP(J$2,Pivot!$B$2:$EU$2,_xlfn.XLOOKUP($I17,Pivot!$A$11:$A$35,Pivot!$B$11:$EU$35),0,0),0)</x:f>
        <x:v>25822000</x:v>
      </x:c>
      <x:c r="K17" s="1166"/>
      <x:c r="L17" s="1166"/>
      <x:c r="M17" s="1166" t="n">
        <x:f>_xlfn.XLOOKUP(G17,'KASSA SOF'!$A$4:$A$22,'KASSA SOF'!$C$4:$C$22,0,0)</x:f>
        <x:v>12335000</x:v>
      </x:c>
      <x:c r="N17" s="1166"/>
      <x:c r="O17" s="1167"/>
      <x:c r="P17" s="415"/>
      <x:c r="Q17" s="415"/>
      <x:c r="R17" s="415"/>
      <x:c r="S17" s="415" t="str">
        <x:f t="shared" si="5"/>
      </x:c>
      <x:c r="T17" s="415"/>
      <x:c r="U17" s="1168" t="str">
        <x:f t="shared" si="1"/>
      </x:c>
      <x:c r="V17" s="1168"/>
      <x:c r="W17" s="472">
        <x:v>11</x:v>
      </x:c>
      <x:c r="X17" s="469" t="s">
        <x:v>199</x:v>
      </x:c>
      <x:c r="Y17" s="1169" t="s">
        <x:v>163</x:v>
      </x:c>
      <x:c r="Z17" s="903" t="str">
        <x:f>_xlfn.LET(_xlpm.r, MATCH($I17, Pivot!$A$11:$A$35, 0),_xlpm.c, MATCH($C$1, Pivot!$B$2:$EU$2, 0),IFERROR(INDEX(Pivot!$B$11:$EU$35, _xlpm.r, _xlpm.c), 0))</x:f>
      </x:c>
      <x:c r="AA17" s="472" t="str">
        <x:f>_xlfn.LET(_xlpm.r, MATCH($I17, Pivot!$A$11:$A$35, 0),_xlpm.c, MATCH($C$2, Pivot!$B$2:$EU$2, 0),IFERROR(INDEX(Pivot!$B$11:$EU$35, _xlpm.r, _xlpm.c), 0))</x:f>
      </x:c>
      <x:c r="AB17" s="472">
        <x:f t="shared" si="6"/>
        <x:v>0</x:v>
      </x:c>
      <x:c r="AC17" s="472" t="n">
        <x:f>IF(AB17&gt;0,MAX(AC$7:$AC16)+1,0)</x:f>
        <x:v>0</x:v>
      </x:c>
      <x:c r="AD17" s="472"/>
      <x:c r="AE17" s="903" t="str">
        <x:f>_xlfn.LET(_xlpm.r, MATCH($I17, Pivot!$A$11:$A$35, 0),_xlpm.c, MATCH($T$1, Pivot!$B$2:$EU$2, 0),IFERROR(INDEX(Pivot!$B$11:$EU$35, _xlpm.r, _xlpm.c), 0))</x:f>
      </x:c>
      <x:c r="AF17" s="903" t="str">
        <x:f>_xlfn.LET(_xlpm.r, MATCH($I17, Pivot!$A$11:$A$35, 0),_xlpm.c, MATCH($T$2, Pivot!$B$2:$EU$2, 0),IFERROR(INDEX(Pivot!$B$11:$EU$35, _xlpm.r, _xlpm.c), 0))</x:f>
      </x:c>
      <x:c r="AG17" s="903">
        <x:f t="shared" si="7"/>
        <x:v>0</x:v>
      </x:c>
      <x:c r="AH17" s="1170" t="n">
        <x:f>IF(AG17&gt;0,MAX($AH$7:AH16)+1,0)</x:f>
        <x:v>0</x:v>
      </x:c>
      <x:c r="AI17" s="415"/>
      <x:c r="AJ17" s="415"/>
      <x:c r="AK17" s="415"/>
      <x:c r="AL17" s="415"/>
      <x:c r="AM17" s="415"/>
      <x:c r="AN17" s="415"/>
      <x:c r="AO17" s="415"/>
      <x:c r="AP17" s="415"/>
      <x:c r="AQ17" s="415"/>
      <x:c r="AR17" s="415"/>
      <x:c r="AS17" s="415"/>
    </x:row>
    <x:row r="18" ht="22" customHeight="1">
      <x:c r="A18" s="480"/>
      <x:c r="B18" s="587" t="str">
        <x:f t="shared" si="4"/>
      </x:c>
      <x:c r="C18" s="802" t="str">
        <x:f t="shared" si="0"/>
      </x:c>
      <x:c r="D18" s="802"/>
      <x:c r="E18" s="1096">
        <x:v>12</x:v>
      </x:c>
      <x:c r="F18" s="447"/>
      <x:c r="G18" s="1096">
        <x:v>13</x:v>
      </x:c>
      <x:c r="H18" s="1097" t="s">
        <x:v>19</x:v>
      </x:c>
      <x:c r="I18" s="1098" t="s">
        <x:v>158</x:v>
      </x:c>
      <x:c r="J18" s="1099" t="n" cm="1">
        <x:f t="array" ref="J18">IFERROR(_xlfn.XLOOKUP(J$2,Pivot!$B$2:$EU$2,_xlfn.XLOOKUP($I18,Pivot!$A$11:$A$35,Pivot!$B$11:$EU$35),0,0),0)</x:f>
        <x:v>161184600</x:v>
      </x:c>
      <x:c r="K18" s="1099"/>
      <x:c r="L18" s="1099"/>
      <x:c r="M18" s="1099" t="n">
        <x:f>_xlfn.XLOOKUP(G18,'KASSA SOF'!$A$4:$A$22,'KASSA SOF'!$C$4:$C$22,0,0)</x:f>
        <x:v>4008000</x:v>
      </x:c>
      <x:c r="N18" s="1099"/>
      <x:c r="O18" s="1100"/>
      <x:c r="P18" s="383"/>
      <x:c r="Q18" s="383"/>
      <x:c r="R18" s="383"/>
      <x:c r="S18" s="587" t="str">
        <x:f t="shared" si="5"/>
      </x:c>
      <x:c r="T18" s="587"/>
      <x:c r="U18" s="1101" t="str">
        <x:f t="shared" si="1"/>
      </x:c>
      <x:c r="V18" s="1101"/>
      <x:c r="W18" s="443">
        <x:v>12</x:v>
      </x:c>
      <x:c r="X18" s="447" t="s">
        <x:v>19</x:v>
      </x:c>
      <x:c r="Y18" s="1102" t="s">
        <x:v>158</x:v>
      </x:c>
      <x:c r="Z18" s="813" t="str">
        <x:f>_xlfn.LET(_xlpm.r, MATCH($I18, Pivot!$A$11:$A$35, 0),_xlpm.c, MATCH($C$1, Pivot!$B$2:$EU$2, 0),IFERROR(INDEX(Pivot!$B$11:$EU$35, _xlpm.r, _xlpm.c), 0))</x:f>
      </x:c>
      <x:c r="AA18" s="443" t="str">
        <x:f>_xlfn.LET(_xlpm.r, MATCH($I18, Pivot!$A$11:$A$35, 0),_xlpm.c, MATCH($C$2, Pivot!$B$2:$EU$2, 0),IFERROR(INDEX(Pivot!$B$11:$EU$35, _xlpm.r, _xlpm.c), 0))</x:f>
      </x:c>
      <x:c r="AB18" s="443">
        <x:f t="shared" si="6"/>
        <x:v>0</x:v>
      </x:c>
      <x:c r="AC18" s="443" t="n">
        <x:f>IF(AB18&gt;0,MAX(AC$7:$AC17)+1,0)</x:f>
        <x:v>0</x:v>
      </x:c>
      <x:c r="AD18" s="443"/>
      <x:c r="AE18" s="813" t="str">
        <x:f>_xlfn.LET(_xlpm.r, MATCH($I18, Pivot!$A$11:$A$35, 0),_xlpm.c, MATCH($T$1, Pivot!$B$2:$EU$2, 0),IFERROR(INDEX(Pivot!$B$11:$EU$35, _xlpm.r, _xlpm.c), 0))</x:f>
      </x:c>
      <x:c r="AF18" s="813" t="str">
        <x:f>_xlfn.LET(_xlpm.r, MATCH($I18, Pivot!$A$11:$A$35, 0),_xlpm.c, MATCH($T$2, Pivot!$B$2:$EU$2, 0),IFERROR(INDEX(Pivot!$B$11:$EU$35, _xlpm.r, _xlpm.c), 0))</x:f>
      </x:c>
      <x:c r="AG18" s="813">
        <x:f t="shared" si="7"/>
        <x:v>0</x:v>
      </x:c>
      <x:c r="AH18" s="1103" t="n">
        <x:f>IF(AG18&gt;0,MAX($AH$7:AH17)+1,0)</x:f>
        <x:v>0</x:v>
      </x:c>
      <x:c r="AI18" s="383"/>
      <x:c r="AJ18" s="383"/>
      <x:c r="AK18" s="383"/>
      <x:c r="AL18" s="383"/>
      <x:c r="AM18" s="383"/>
      <x:c r="AN18" s="383"/>
      <x:c r="AO18" s="383"/>
      <x:c r="AP18" s="383"/>
      <x:c r="AQ18" s="383"/>
      <x:c r="AR18" s="383"/>
      <x:c r="AS18" s="383"/>
    </x:row>
    <x:row r="19" ht="22" customHeight="1">
      <x:c r="A19" s="479"/>
      <x:c r="B19" s="415" t="str">
        <x:f t="shared" si="4"/>
      </x:c>
      <x:c r="C19" s="891" t="str">
        <x:f t="shared" si="0"/>
      </x:c>
      <x:c r="D19" s="891"/>
      <x:c r="E19" s="1163">
        <x:v>13</x:v>
      </x:c>
      <x:c r="F19" s="469"/>
      <x:c r="G19" s="1163">
        <x:v>14</x:v>
      </x:c>
      <x:c r="H19" s="1164" t="s">
        <x:v>31</x:v>
      </x:c>
      <x:c r="I19" s="1165" t="s">
        <x:v>165</x:v>
      </x:c>
      <x:c r="J19" s="1166" t="n" cm="1">
        <x:f t="array" ref="J19">IFERROR(_xlfn.XLOOKUP(J$2,Pivot!$B$2:$EU$2,_xlfn.XLOOKUP($I19,Pivot!$A$11:$A$35,Pivot!$B$11:$EU$35),0,0),0)</x:f>
        <x:v>129375600</x:v>
      </x:c>
      <x:c r="K19" s="1166"/>
      <x:c r="L19" s="1166"/>
      <x:c r="M19" s="1166" t="n">
        <x:f>_xlfn.XLOOKUP(G19,'KASSA SOF'!$A$4:$A$22,'KASSA SOF'!$C$4:$C$22,0,0)</x:f>
        <x:v>0</x:v>
      </x:c>
      <x:c r="N19" s="1166"/>
      <x:c r="O19" s="1167"/>
      <x:c r="P19" s="415"/>
      <x:c r="Q19" s="415"/>
      <x:c r="R19" s="415"/>
      <x:c r="S19" s="415" t="str">
        <x:f t="shared" si="5"/>
      </x:c>
      <x:c r="T19" s="415"/>
      <x:c r="U19" s="1168" t="str">
        <x:f t="shared" si="1"/>
      </x:c>
      <x:c r="V19" s="1168"/>
      <x:c r="W19" s="472">
        <x:v>13</x:v>
      </x:c>
      <x:c r="X19" s="469" t="s">
        <x:v>31</x:v>
      </x:c>
      <x:c r="Y19" s="1169" t="s">
        <x:v>165</x:v>
      </x:c>
      <x:c r="Z19" s="903" t="str">
        <x:f>_xlfn.LET(_xlpm.r, MATCH($I19, Pivot!$A$11:$A$35, 0),_xlpm.c, MATCH($C$1, Pivot!$B$2:$EU$2, 0),IFERROR(INDEX(Pivot!$B$11:$EU$35, _xlpm.r, _xlpm.c), 0))</x:f>
      </x:c>
      <x:c r="AA19" s="472" t="str">
        <x:f>_xlfn.LET(_xlpm.r, MATCH($I19, Pivot!$A$11:$A$35, 0),_xlpm.c, MATCH($C$2, Pivot!$B$2:$EU$2, 0),IFERROR(INDEX(Pivot!$B$11:$EU$35, _xlpm.r, _xlpm.c), 0))</x:f>
      </x:c>
      <x:c r="AB19" s="472">
        <x:f t="shared" si="6"/>
        <x:v>0</x:v>
      </x:c>
      <x:c r="AC19" s="472" t="n">
        <x:f>IF(AB19&gt;0,MAX(AC$7:$AC18)+1,0)</x:f>
        <x:v>0</x:v>
      </x:c>
      <x:c r="AD19" s="472"/>
      <x:c r="AE19" s="903" t="str">
        <x:f>_xlfn.LET(_xlpm.r, MATCH($I19, Pivot!$A$11:$A$35, 0),_xlpm.c, MATCH($T$1, Pivot!$B$2:$EU$2, 0),IFERROR(INDEX(Pivot!$B$11:$EU$35, _xlpm.r, _xlpm.c), 0))</x:f>
      </x:c>
      <x:c r="AF19" s="903" t="str">
        <x:f>_xlfn.LET(_xlpm.r, MATCH($I19, Pivot!$A$11:$A$35, 0),_xlpm.c, MATCH($T$2, Pivot!$B$2:$EU$2, 0),IFERROR(INDEX(Pivot!$B$11:$EU$35, _xlpm.r, _xlpm.c), 0))</x:f>
      </x:c>
      <x:c r="AG19" s="903">
        <x:f t="shared" si="7"/>
        <x:v>0</x:v>
      </x:c>
      <x:c r="AH19" s="1170" t="n">
        <x:f>IF(AG19&gt;0,MAX($AH$7:AH18)+1,0)</x:f>
        <x:v>0</x:v>
      </x:c>
      <x:c r="AI19" s="415"/>
      <x:c r="AJ19" s="415"/>
      <x:c r="AK19" s="415"/>
      <x:c r="AL19" s="415"/>
      <x:c r="AM19" s="415"/>
      <x:c r="AN19" s="415"/>
      <x:c r="AO19" s="415"/>
      <x:c r="AP19" s="415"/>
      <x:c r="AQ19" s="415"/>
      <x:c r="AR19" s="415"/>
      <x:c r="AS19" s="415"/>
    </x:row>
    <x:row r="20" ht="22" customHeight="1">
      <x:c r="A20" s="480"/>
      <x:c r="B20" s="587" t="str">
        <x:f t="shared" si="4"/>
      </x:c>
      <x:c r="C20" s="802" t="str">
        <x:f t="shared" si="0"/>
      </x:c>
      <x:c r="D20" s="802"/>
      <x:c r="E20" s="1096">
        <x:v>14</x:v>
      </x:c>
      <x:c r="F20" s="447"/>
      <x:c r="G20" s="1096">
        <x:v>15</x:v>
      </x:c>
      <x:c r="H20" s="1097" t="s">
        <x:v>53</x:v>
      </x:c>
      <x:c r="I20" s="1098" t="s">
        <x:v>176</x:v>
      </x:c>
      <x:c r="J20" s="1099" t="str" cm="1">
        <x:f t="array" ref="J20">IFERROR(_xlfn.XLOOKUP(J$2,Pivot!$B$2:$EU$2,_xlfn.XLOOKUP($I20,Pivot!$A$11:$A$35,Pivot!$B$11:$EU$35),0,0),0)</x:f>
      </x:c>
      <x:c r="K20" s="1099"/>
      <x:c r="L20" s="1099"/>
      <x:c r="M20" s="1099" t="n">
        <x:f>_xlfn.XLOOKUP(G20,'KASSA SOF'!$A$4:$A$22,'KASSA SOF'!$C$4:$C$22,0,0)</x:f>
        <x:v>460000</x:v>
      </x:c>
      <x:c r="N20" s="1099"/>
      <x:c r="O20" s="1100"/>
      <x:c r="P20" s="383"/>
      <x:c r="Q20" s="383"/>
      <x:c r="R20" s="383"/>
      <x:c r="S20" s="587" t="str">
        <x:f t="shared" si="5"/>
      </x:c>
      <x:c r="T20" s="587"/>
      <x:c r="U20" s="1101" t="str">
        <x:f t="shared" si="1"/>
      </x:c>
      <x:c r="V20" s="1101"/>
      <x:c r="W20" s="443">
        <x:v>14</x:v>
      </x:c>
      <x:c r="X20" s="447" t="s">
        <x:v>53</x:v>
      </x:c>
      <x:c r="Y20" s="1102" t="s">
        <x:v>176</x:v>
      </x:c>
      <x:c r="Z20" s="813" t="str">
        <x:f>_xlfn.LET(_xlpm.r, MATCH($I20, Pivot!$A$11:$A$35, 0),_xlpm.c, MATCH($C$1, Pivot!$B$2:$EU$2, 0),IFERROR(INDEX(Pivot!$B$11:$EU$35, _xlpm.r, _xlpm.c), 0))</x:f>
      </x:c>
      <x:c r="AA20" s="443" t="str">
        <x:f>_xlfn.LET(_xlpm.r, MATCH($I20, Pivot!$A$11:$A$35, 0),_xlpm.c, MATCH($C$2, Pivot!$B$2:$EU$2, 0),IFERROR(INDEX(Pivot!$B$11:$EU$35, _xlpm.r, _xlpm.c), 0))</x:f>
      </x:c>
      <x:c r="AB20" s="443">
        <x:f t="shared" si="6"/>
        <x:v>0</x:v>
      </x:c>
      <x:c r="AC20" s="443" t="n">
        <x:f>IF(AB20&gt;0,MAX(AC$7:$AC19)+1,0)</x:f>
        <x:v>0</x:v>
      </x:c>
      <x:c r="AD20" s="443"/>
      <x:c r="AE20" s="813" t="str">
        <x:f>_xlfn.LET(_xlpm.r, MATCH($I20, Pivot!$A$11:$A$35, 0),_xlpm.c, MATCH($T$1, Pivot!$B$2:$EU$2, 0),IFERROR(INDEX(Pivot!$B$11:$EU$35, _xlpm.r, _xlpm.c), 0))</x:f>
      </x:c>
      <x:c r="AF20" s="813" t="str">
        <x:f>_xlfn.LET(_xlpm.r, MATCH($I20, Pivot!$A$11:$A$35, 0),_xlpm.c, MATCH($T$2, Pivot!$B$2:$EU$2, 0),IFERROR(INDEX(Pivot!$B$11:$EU$35, _xlpm.r, _xlpm.c), 0))</x:f>
      </x:c>
      <x:c r="AG20" s="813">
        <x:f t="shared" si="7"/>
        <x:v>0</x:v>
      </x:c>
      <x:c r="AH20" s="1103" t="n">
        <x:f>IF(AG20&gt;0,MAX($AH$7:AH19)+1,0)</x:f>
        <x:v>0</x:v>
      </x:c>
      <x:c r="AI20" s="383"/>
      <x:c r="AJ20" s="383"/>
      <x:c r="AK20" s="383"/>
      <x:c r="AL20" s="383"/>
      <x:c r="AM20" s="383"/>
      <x:c r="AN20" s="383"/>
      <x:c r="AO20" s="383"/>
      <x:c r="AP20" s="383"/>
      <x:c r="AQ20" s="383"/>
      <x:c r="AR20" s="383"/>
      <x:c r="AS20" s="383"/>
    </x:row>
    <x:row r="21" ht="22" customHeight="1">
      <x:c r="A21" s="479"/>
      <x:c r="B21" s="415" t="str">
        <x:f t="shared" si="4"/>
      </x:c>
      <x:c r="C21" s="891" t="str">
        <x:f t="shared" si="0"/>
      </x:c>
      <x:c r="D21" s="891"/>
      <x:c r="E21" s="1163">
        <x:v>15</x:v>
      </x:c>
      <x:c r="F21" s="469"/>
      <x:c r="G21" s="1163">
        <x:v>16</x:v>
      </x:c>
      <x:c r="H21" s="1164" t="s">
        <x:v>37</x:v>
      </x:c>
      <x:c r="I21" s="1165" t="s">
        <x:v>247</x:v>
      </x:c>
      <x:c r="J21" s="1166" t="n" cm="1">
        <x:f t="array" ref="J21">IFERROR(_xlfn.XLOOKUP(J$2,Pivot!$B$2:$EU$2,_xlfn.XLOOKUP($I21,Pivot!$A$11:$A$35,Pivot!$B$11:$EU$35),0,0),0)</x:f>
        <x:v>69254400</x:v>
      </x:c>
      <x:c r="K21" s="1166"/>
      <x:c r="L21" s="1166"/>
      <x:c r="M21" s="1166" t="n">
        <x:f>_xlfn.XLOOKUP(G21,'KASSA SOF'!$A$4:$A$22,'KASSA SOF'!$C$4:$C$22,0,0)</x:f>
        <x:v>647000</x:v>
      </x:c>
      <x:c r="N21" s="1166"/>
      <x:c r="O21" s="1167"/>
      <x:c r="P21" s="415"/>
      <x:c r="Q21" s="415"/>
      <x:c r="R21" s="415"/>
      <x:c r="S21" s="415" t="str">
        <x:f t="shared" si="5"/>
      </x:c>
      <x:c r="T21" s="415"/>
      <x:c r="U21" s="1168" t="str">
        <x:f t="shared" si="1"/>
      </x:c>
      <x:c r="V21" s="1168"/>
      <x:c r="W21" s="472">
        <x:v>15</x:v>
      </x:c>
      <x:c r="X21" s="469" t="s">
        <x:v>37</x:v>
      </x:c>
      <x:c r="Y21" s="1169" t="s">
        <x:v>247</x:v>
      </x:c>
      <x:c r="Z21" s="903" t="str">
        <x:f>_xlfn.LET(_xlpm.r, MATCH($I21, Pivot!$A$11:$A$35, 0),_xlpm.c, MATCH($C$1, Pivot!$B$2:$EU$2, 0),IFERROR(INDEX(Pivot!$B$11:$EU$35, _xlpm.r, _xlpm.c), 0))</x:f>
      </x:c>
      <x:c r="AA21" s="472" t="str">
        <x:f>_xlfn.LET(_xlpm.r, MATCH($I21, Pivot!$A$11:$A$35, 0),_xlpm.c, MATCH($C$2, Pivot!$B$2:$EU$2, 0),IFERROR(INDEX(Pivot!$B$11:$EU$35, _xlpm.r, _xlpm.c), 0))</x:f>
      </x:c>
      <x:c r="AB21" s="472">
        <x:f t="shared" si="6"/>
        <x:v>0</x:v>
      </x:c>
      <x:c r="AC21" s="472" t="n">
        <x:f>IF(AB21&gt;0,MAX(AC$7:$AC20)+1,0)</x:f>
        <x:v>0</x:v>
      </x:c>
      <x:c r="AD21" s="472"/>
      <x:c r="AE21" s="903" t="str">
        <x:f>_xlfn.LET(_xlpm.r, MATCH($I21, Pivot!$A$11:$A$35, 0),_xlpm.c, MATCH($T$1, Pivot!$B$2:$EU$2, 0),IFERROR(INDEX(Pivot!$B$11:$EU$35, _xlpm.r, _xlpm.c), 0))</x:f>
      </x:c>
      <x:c r="AF21" s="903" t="str">
        <x:f>_xlfn.LET(_xlpm.r, MATCH($I21, Pivot!$A$11:$A$35, 0),_xlpm.c, MATCH($T$2, Pivot!$B$2:$EU$2, 0),IFERROR(INDEX(Pivot!$B$11:$EU$35, _xlpm.r, _xlpm.c), 0))</x:f>
      </x:c>
      <x:c r="AG21" s="903">
        <x:f t="shared" si="7"/>
        <x:v>0</x:v>
      </x:c>
      <x:c r="AH21" s="1170" t="n">
        <x:f>IF(AG21&gt;0,MAX($AH$7:AH20)+1,0)</x:f>
        <x:v>0</x:v>
      </x:c>
      <x:c r="AI21" s="415"/>
      <x:c r="AJ21" s="415"/>
      <x:c r="AK21" s="415"/>
      <x:c r="AL21" s="415"/>
      <x:c r="AM21" s="415"/>
      <x:c r="AN21" s="415"/>
      <x:c r="AO21" s="415"/>
      <x:c r="AP21" s="415"/>
      <x:c r="AQ21" s="415"/>
      <x:c r="AR21" s="415"/>
      <x:c r="AS21" s="415"/>
    </x:row>
    <x:row r="22" ht="22" customHeight="1">
      <x:c r="A22" s="480"/>
      <x:c r="B22" s="587" t="str">
        <x:f t="shared" si="4"/>
      </x:c>
      <x:c r="C22" s="802" t="str">
        <x:f t="shared" si="0"/>
      </x:c>
      <x:c r="D22" s="802"/>
      <x:c r="E22" s="1096">
        <x:v>16</x:v>
      </x:c>
      <x:c r="F22" s="447"/>
      <x:c r="G22" s="1096">
        <x:v>17</x:v>
      </x:c>
      <x:c r="H22" s="1097" t="s">
        <x:v>45</x:v>
      </x:c>
      <x:c r="I22" s="1098" t="s">
        <x:v>172</x:v>
      </x:c>
      <x:c r="J22" s="1099" t="n" cm="1">
        <x:f t="array" ref="J22">IFERROR(_xlfn.XLOOKUP(J$2,Pivot!$B$2:$EU$2,_xlfn.XLOOKUP($I22,Pivot!$A$11:$A$35,Pivot!$B$11:$EU$35),0,0),0)</x:f>
        <x:v>15463000</x:v>
      </x:c>
      <x:c r="K22" s="1099"/>
      <x:c r="L22" s="1099"/>
      <x:c r="M22" s="1099" t="n">
        <x:f>_xlfn.XLOOKUP(G22,'KASSA SOF'!$A$4:$A$22,'KASSA SOF'!$C$4:$C$22,0,0)</x:f>
        <x:v>856000</x:v>
      </x:c>
      <x:c r="N22" s="1099"/>
      <x:c r="O22" s="1100"/>
      <x:c r="P22" s="383"/>
      <x:c r="Q22" s="383"/>
      <x:c r="R22" s="383"/>
      <x:c r="S22" s="587" t="str">
        <x:f t="shared" si="5"/>
      </x:c>
      <x:c r="T22" s="587"/>
      <x:c r="U22" s="1101" t="str">
        <x:f t="shared" si="1"/>
      </x:c>
      <x:c r="V22" s="1101"/>
      <x:c r="W22" s="443">
        <x:v>16</x:v>
      </x:c>
      <x:c r="X22" s="447" t="s">
        <x:v>45</x:v>
      </x:c>
      <x:c r="Y22" s="1102" t="s">
        <x:v>172</x:v>
      </x:c>
      <x:c r="Z22" s="813" t="str">
        <x:f>_xlfn.LET(_xlpm.r, MATCH($I22, Pivot!$A$11:$A$35, 0),_xlpm.c, MATCH($C$1, Pivot!$B$2:$EU$2, 0),IFERROR(INDEX(Pivot!$B$11:$EU$35, _xlpm.r, _xlpm.c), 0))</x:f>
      </x:c>
      <x:c r="AA22" s="443" t="str">
        <x:f>_xlfn.LET(_xlpm.r, MATCH($I22, Pivot!$A$11:$A$35, 0),_xlpm.c, MATCH($C$2, Pivot!$B$2:$EU$2, 0),IFERROR(INDEX(Pivot!$B$11:$EU$35, _xlpm.r, _xlpm.c), 0))</x:f>
      </x:c>
      <x:c r="AB22" s="443">
        <x:f t="shared" si="6"/>
        <x:v>0</x:v>
      </x:c>
      <x:c r="AC22" s="443" t="n">
        <x:f>IF(AB22&gt;0,MAX(AC$7:$AC21)+1,0)</x:f>
        <x:v>0</x:v>
      </x:c>
      <x:c r="AD22" s="443"/>
      <x:c r="AE22" s="813" t="str">
        <x:f>_xlfn.LET(_xlpm.r, MATCH($I22, Pivot!$A$11:$A$35, 0),_xlpm.c, MATCH($T$1, Pivot!$B$2:$EU$2, 0),IFERROR(INDEX(Pivot!$B$11:$EU$35, _xlpm.r, _xlpm.c), 0))</x:f>
      </x:c>
      <x:c r="AF22" s="813" t="str">
        <x:f>_xlfn.LET(_xlpm.r, MATCH($I22, Pivot!$A$11:$A$35, 0),_xlpm.c, MATCH($T$2, Pivot!$B$2:$EU$2, 0),IFERROR(INDEX(Pivot!$B$11:$EU$35, _xlpm.r, _xlpm.c), 0))</x:f>
      </x:c>
      <x:c r="AG22" s="813">
        <x:f t="shared" si="7"/>
        <x:v>0</x:v>
      </x:c>
      <x:c r="AH22" s="1103" t="n">
        <x:f>IF(AG22&gt;0,MAX($AH$7:AH21)+1,0)</x:f>
        <x:v>0</x:v>
      </x:c>
      <x:c r="AI22" s="383"/>
      <x:c r="AJ22" s="383"/>
      <x:c r="AK22" s="383"/>
      <x:c r="AL22" s="383"/>
      <x:c r="AM22" s="383"/>
      <x:c r="AN22" s="383"/>
      <x:c r="AO22" s="383"/>
      <x:c r="AP22" s="383"/>
      <x:c r="AQ22" s="383"/>
      <x:c r="AR22" s="383"/>
      <x:c r="AS22" s="383"/>
    </x:row>
    <x:row r="23" ht="22" customHeight="1">
      <x:c r="A23" s="479"/>
      <x:c r="B23" s="415" t="str">
        <x:f t="shared" si="4"/>
      </x:c>
      <x:c r="C23" s="891" t="str">
        <x:f t="shared" si="0"/>
      </x:c>
      <x:c r="D23" s="891"/>
      <x:c r="E23" s="1163">
        <x:v>17</x:v>
      </x:c>
      <x:c r="F23" s="469"/>
      <x:c r="G23" s="1163">
        <x:v>18</x:v>
      </x:c>
      <x:c r="H23" s="1164" t="s">
        <x:v>47</x:v>
      </x:c>
      <x:c r="I23" s="1165" t="s">
        <x:v>173</x:v>
      </x:c>
      <x:c r="J23" s="1166" t="n" cm="1">
        <x:f t="array" ref="J23">IFERROR(_xlfn.XLOOKUP(J$2,Pivot!$B$2:$EU$2,_xlfn.XLOOKUP($I23,Pivot!$A$11:$A$35,Pivot!$B$11:$EU$35),0,0),0)</x:f>
        <x:v>85350400</x:v>
      </x:c>
      <x:c r="K23" s="1166"/>
      <x:c r="L23" s="1166"/>
      <x:c r="M23" s="1166" t="n">
        <x:f>_xlfn.XLOOKUP(G23,'KASSA SOF'!$A$4:$A$22,'KASSA SOF'!$C$4:$C$22,0,0)</x:f>
        <x:v>504000</x:v>
      </x:c>
      <x:c r="N23" s="1166"/>
      <x:c r="O23" s="1167"/>
      <x:c r="P23" s="415"/>
      <x:c r="Q23" s="415"/>
      <x:c r="R23" s="415"/>
      <x:c r="S23" s="415" t="str">
        <x:f t="shared" si="5"/>
      </x:c>
      <x:c r="T23" s="415"/>
      <x:c r="U23" s="1168" t="str">
        <x:f t="shared" si="1"/>
      </x:c>
      <x:c r="V23" s="1168"/>
      <x:c r="W23" s="472">
        <x:v>17</x:v>
      </x:c>
      <x:c r="X23" s="469" t="s">
        <x:v>47</x:v>
      </x:c>
      <x:c r="Y23" s="1169" t="s">
        <x:v>173</x:v>
      </x:c>
      <x:c r="Z23" s="903" t="n">
        <x:f>_xlfn.LET(_xlpm.r, MATCH($I23, Pivot!$A$11:$A$35, 0),_xlpm.c, MATCH($C$1, Pivot!$B$2:$EU$2, 0),IFERROR(INDEX(Pivot!$B$11:$EU$35, _xlpm.r, _xlpm.c), 0))</x:f>
        <x:v>60</x:v>
      </x:c>
      <x:c r="AA23" s="472" t="str">
        <x:f>_xlfn.LET(_xlpm.r, MATCH($I23, Pivot!$A$11:$A$35, 0),_xlpm.c, MATCH($C$2, Pivot!$B$2:$EU$2, 0),IFERROR(INDEX(Pivot!$B$11:$EU$35, _xlpm.r, _xlpm.c), 0))</x:f>
      </x:c>
      <x:c r="AB23" s="472">
        <x:f t="shared" si="6"/>
        <x:v>60</x:v>
      </x:c>
      <x:c r="AC23" s="472" t="n">
        <x:f>IF(AB23&gt;0,MAX(AC$7:$AC22)+1,0)</x:f>
        <x:v>4</x:v>
      </x:c>
      <x:c r="AD23" s="472"/>
      <x:c r="AE23" s="903" t="str">
        <x:f>_xlfn.LET(_xlpm.r, MATCH($I23, Pivot!$A$11:$A$35, 0),_xlpm.c, MATCH($T$1, Pivot!$B$2:$EU$2, 0),IFERROR(INDEX(Pivot!$B$11:$EU$35, _xlpm.r, _xlpm.c), 0))</x:f>
      </x:c>
      <x:c r="AF23" s="903" t="str">
        <x:f>_xlfn.LET(_xlpm.r, MATCH($I23, Pivot!$A$11:$A$35, 0),_xlpm.c, MATCH($T$2, Pivot!$B$2:$EU$2, 0),IFERROR(INDEX(Pivot!$B$11:$EU$35, _xlpm.r, _xlpm.c), 0))</x:f>
      </x:c>
      <x:c r="AG23" s="903">
        <x:f t="shared" si="7"/>
        <x:v>0</x:v>
      </x:c>
      <x:c r="AH23" s="1170" t="n">
        <x:f>IF(AG23&gt;0,MAX($AH$7:AH22)+1,0)</x:f>
        <x:v>0</x:v>
      </x:c>
      <x:c r="AI23" s="415"/>
      <x:c r="AJ23" s="415"/>
      <x:c r="AK23" s="415"/>
      <x:c r="AL23" s="415"/>
      <x:c r="AM23" s="415"/>
      <x:c r="AN23" s="415"/>
      <x:c r="AO23" s="415"/>
      <x:c r="AP23" s="415"/>
      <x:c r="AQ23" s="415"/>
      <x:c r="AR23" s="415"/>
      <x:c r="AS23" s="415"/>
    </x:row>
    <x:row r="24" ht="22" customHeight="1">
      <x:c r="A24" s="480"/>
      <x:c r="B24" s="587" t="str">
        <x:f t="shared" si="4"/>
      </x:c>
      <x:c r="C24" s="802" t="str">
        <x:f t="shared" si="0"/>
      </x:c>
      <x:c r="D24" s="802"/>
      <x:c r="E24" s="1096">
        <x:v>18</x:v>
      </x:c>
      <x:c r="F24" s="447"/>
      <x:c r="G24" s="1096">
        <x:v>19</x:v>
      </x:c>
      <x:c r="H24" s="1097" t="s">
        <x:v>21</x:v>
      </x:c>
      <x:c r="I24" s="1098" t="s">
        <x:v>159</x:v>
      </x:c>
      <x:c r="J24" s="1099" t="n" cm="1">
        <x:f t="array" ref="J24">IFERROR(_xlfn.XLOOKUP(J$2,Pivot!$B$2:$EU$2,_xlfn.XLOOKUP($I24,Pivot!$A$11:$A$35,Pivot!$B$11:$EU$35),0,0),0)</x:f>
        <x:v>49767800</x:v>
      </x:c>
      <x:c r="K24" s="1099"/>
      <x:c r="L24" s="1099"/>
      <x:c r="M24" s="1099" t="n">
        <x:f>_xlfn.XLOOKUP(G24,'KASSA SOF'!$A$4:$A$22,'KASSA SOF'!$C$4:$C$22,0,0)</x:f>
        <x:v>4444800</x:v>
      </x:c>
      <x:c r="N24" s="1099"/>
      <x:c r="O24" s="1100"/>
      <x:c r="P24" s="383"/>
      <x:c r="Q24" s="383"/>
      <x:c r="R24" s="383"/>
      <x:c r="S24" s="587" t="str">
        <x:f t="shared" si="5"/>
      </x:c>
      <x:c r="T24" s="587"/>
      <x:c r="U24" s="1101" t="str">
        <x:f t="shared" si="1"/>
      </x:c>
      <x:c r="V24" s="1101"/>
      <x:c r="W24" s="443">
        <x:v>18</x:v>
      </x:c>
      <x:c r="X24" s="447" t="s">
        <x:v>21</x:v>
      </x:c>
      <x:c r="Y24" s="1102" t="s">
        <x:v>159</x:v>
      </x:c>
      <x:c r="Z24" s="813" t="str">
        <x:f>_xlfn.LET(_xlpm.r, MATCH($I24, Pivot!$A$11:$A$35, 0),_xlpm.c, MATCH($C$1, Pivot!$B$2:$EU$2, 0),IFERROR(INDEX(Pivot!$B$11:$EU$35, _xlpm.r, _xlpm.c), 0))</x:f>
      </x:c>
      <x:c r="AA24" s="443" t="str">
        <x:f>_xlfn.LET(_xlpm.r, MATCH($I24, Pivot!$A$11:$A$35, 0),_xlpm.c, MATCH($C$2, Pivot!$B$2:$EU$2, 0),IFERROR(INDEX(Pivot!$B$11:$EU$35, _xlpm.r, _xlpm.c), 0))</x:f>
      </x:c>
      <x:c r="AB24" s="443">
        <x:f t="shared" si="6"/>
        <x:v>0</x:v>
      </x:c>
      <x:c r="AC24" s="443" t="n">
        <x:f>IF(AB24&gt;0,MAX(AC$7:$AC23)+1,0)</x:f>
        <x:v>0</x:v>
      </x:c>
      <x:c r="AD24" s="443"/>
      <x:c r="AE24" s="813" t="str">
        <x:f>_xlfn.LET(_xlpm.r, MATCH($I24, Pivot!$A$11:$A$35, 0),_xlpm.c, MATCH($T$1, Pivot!$B$2:$EU$2, 0),IFERROR(INDEX(Pivot!$B$11:$EU$35, _xlpm.r, _xlpm.c), 0))</x:f>
      </x:c>
      <x:c r="AF24" s="813" t="str">
        <x:f>_xlfn.LET(_xlpm.r, MATCH($I24, Pivot!$A$11:$A$35, 0),_xlpm.c, MATCH($T$2, Pivot!$B$2:$EU$2, 0),IFERROR(INDEX(Pivot!$B$11:$EU$35, _xlpm.r, _xlpm.c), 0))</x:f>
      </x:c>
      <x:c r="AG24" s="813">
        <x:f t="shared" si="7"/>
        <x:v>0</x:v>
      </x:c>
      <x:c r="AH24" s="1103" t="n">
        <x:f>IF(AG24&gt;0,MAX($AH$7:AH23)+1,0)</x:f>
        <x:v>0</x:v>
      </x:c>
      <x:c r="AI24" s="383"/>
      <x:c r="AJ24" s="383"/>
      <x:c r="AK24" s="383"/>
      <x:c r="AL24" s="383"/>
      <x:c r="AM24" s="383"/>
      <x:c r="AN24" s="383"/>
      <x:c r="AO24" s="383"/>
      <x:c r="AP24" s="383"/>
      <x:c r="AQ24" s="383"/>
      <x:c r="AR24" s="383"/>
      <x:c r="AS24" s="383"/>
    </x:row>
    <x:row r="25" ht="22" customHeight="1">
      <x:c r="A25" s="479"/>
      <x:c r="B25" s="415" t="str">
        <x:f t="shared" si="4"/>
      </x:c>
      <x:c r="C25" s="891" t="str">
        <x:f t="shared" si="0"/>
      </x:c>
      <x:c r="D25" s="891"/>
      <x:c r="E25" s="1163">
        <x:v>19</x:v>
      </x:c>
      <x:c r="F25" s="469"/>
      <x:c r="G25" s="1163">
        <x:v>6</x:v>
      </x:c>
      <x:c r="H25" s="1164" t="s">
        <x:v>49</x:v>
      </x:c>
      <x:c r="I25" s="1165" t="s">
        <x:v>174</x:v>
      </x:c>
      <x:c r="J25" s="1166" t="n" cm="1">
        <x:f t="array" ref="J25">IFERROR(_xlfn.XLOOKUP(J$2,Pivot!$B$2:$EU$2,_xlfn.XLOOKUP($I25,Pivot!$A$11:$A$35,Pivot!$B$11:$EU$35),0,0),0)</x:f>
        <x:v>211308600</x:v>
      </x:c>
      <x:c r="K25" s="1166"/>
      <x:c r="L25" s="1166"/>
      <x:c r="M25" s="1166" t="n">
        <x:f>_xlfn.XLOOKUP(G25,'KASSA SOF'!$A$4:$A$22,'KASSA SOF'!$C$4:$C$22,0,0)</x:f>
        <x:v>1492000</x:v>
      </x:c>
      <x:c r="N25" s="1166"/>
      <x:c r="O25" s="1167"/>
      <x:c r="P25" s="415"/>
      <x:c r="Q25" s="415"/>
      <x:c r="R25" s="415"/>
      <x:c r="S25" s="415" t="str">
        <x:f t="shared" si="5"/>
      </x:c>
      <x:c r="T25" s="415"/>
      <x:c r="U25" s="1168" t="str">
        <x:f t="shared" si="1"/>
      </x:c>
      <x:c r="V25" s="1168"/>
      <x:c r="W25" s="472">
        <x:v>19</x:v>
      </x:c>
      <x:c r="X25" s="469" t="s">
        <x:v>49</x:v>
      </x:c>
      <x:c r="Y25" s="1169" t="s">
        <x:v>174</x:v>
      </x:c>
      <x:c r="Z25" s="903" t="str">
        <x:f>_xlfn.LET(_xlpm.r, MATCH($I25, Pivot!$A$11:$A$35, 0),_xlpm.c, MATCH($C$1, Pivot!$B$2:$EU$2, 0),IFERROR(INDEX(Pivot!$B$11:$EU$35, _xlpm.r, _xlpm.c), 0))</x:f>
      </x:c>
      <x:c r="AA25" s="472" t="str">
        <x:f>_xlfn.LET(_xlpm.r, MATCH($I25, Pivot!$A$11:$A$35, 0),_xlpm.c, MATCH($C$2, Pivot!$B$2:$EU$2, 0),IFERROR(INDEX(Pivot!$B$11:$EU$35, _xlpm.r, _xlpm.c), 0))</x:f>
      </x:c>
      <x:c r="AB25" s="472">
        <x:f t="shared" si="6"/>
        <x:v>0</x:v>
      </x:c>
      <x:c r="AC25" s="472" t="n">
        <x:f>IF(AB25&gt;0,MAX(AC$7:$AC24)+1,0)</x:f>
        <x:v>0</x:v>
      </x:c>
      <x:c r="AD25" s="472"/>
      <x:c r="AE25" s="903" t="str">
        <x:f>_xlfn.LET(_xlpm.r, MATCH($I25, Pivot!$A$11:$A$35, 0),_xlpm.c, MATCH($T$1, Pivot!$B$2:$EU$2, 0),IFERROR(INDEX(Pivot!$B$11:$EU$35, _xlpm.r, _xlpm.c), 0))</x:f>
      </x:c>
      <x:c r="AF25" s="903" t="n">
        <x:f>_xlfn.LET(_xlpm.r, MATCH($I25, Pivot!$A$11:$A$35, 0),_xlpm.c, MATCH($T$2, Pivot!$B$2:$EU$2, 0),IFERROR(INDEX(Pivot!$B$11:$EU$35, _xlpm.r, _xlpm.c), 0))</x:f>
        <x:v>2</x:v>
      </x:c>
      <x:c r="AG25" s="903">
        <x:f t="shared" si="7"/>
        <x:v>2</x:v>
      </x:c>
      <x:c r="AH25" s="1170" t="n">
        <x:f>IF(AG25&gt;0,MAX($AH$7:AH24)+1,0)</x:f>
        <x:v>2</x:v>
      </x:c>
      <x:c r="AI25" s="415"/>
      <x:c r="AJ25" s="415"/>
      <x:c r="AK25" s="415"/>
      <x:c r="AL25" s="415"/>
      <x:c r="AM25" s="415"/>
      <x:c r="AN25" s="415"/>
      <x:c r="AO25" s="415"/>
      <x:c r="AP25" s="415"/>
      <x:c r="AQ25" s="415"/>
      <x:c r="AR25" s="415"/>
      <x:c r="AS25" s="415"/>
    </x:row>
    <x:row r="26" s="56" customFormat="1" ht="22" customHeight="1">
      <x:c r="A26" s="480"/>
      <x:c r="B26" s="1084" t="str">
        <x:f t="shared" si="4"/>
      </x:c>
      <x:c r="C26" s="802" t="str">
        <x:f t="shared" si="0"/>
      </x:c>
      <x:c r="D26" s="802"/>
      <x:c r="E26" s="1096">
        <x:v>20</x:v>
      </x:c>
      <x:c r="F26" s="815"/>
      <x:c r="G26" s="1096">
        <x:v>20</x:v>
      </x:c>
      <x:c r="H26" s="1104" t="s">
        <x:v>33</x:v>
      </x:c>
      <x:c r="I26" s="1098" t="s">
        <x:v>166</x:v>
      </x:c>
      <x:c r="J26" s="1099" t="n" cm="1">
        <x:f t="array" ref="J26">IFERROR(_xlfn.XLOOKUP(J$2,Pivot!$B$2:$EU$2,_xlfn.XLOOKUP($I26,Pivot!$A$11:$A$35,Pivot!$B$11:$EU$35),0,0),0)</x:f>
        <x:v>101642200</x:v>
      </x:c>
      <x:c r="K26" s="1099"/>
      <x:c r="L26" s="1099"/>
      <x:c r="M26" s="1099" t="n">
        <x:f>'KASSA SOF'!C23</x:f>
        <x:v>2246800</x:v>
      </x:c>
      <x:c r="N26" s="1099"/>
      <x:c r="O26" s="1100"/>
      <x:c r="P26" s="383"/>
      <x:c r="Q26" s="447"/>
      <x:c r="R26" s="383"/>
      <x:c r="S26" s="587" t="str">
        <x:f t="shared" si="5"/>
      </x:c>
      <x:c r="T26" s="587"/>
      <x:c r="U26" s="1101" t="str">
        <x:f t="shared" si="1"/>
      </x:c>
      <x:c r="V26" s="1101"/>
      <x:c r="W26" s="443">
        <x:v>20</x:v>
      </x:c>
      <x:c r="X26" s="447" t="s">
        <x:v>33</x:v>
      </x:c>
      <x:c r="Y26" s="1102" t="s">
        <x:v>166</x:v>
      </x:c>
      <x:c r="Z26" s="813" t="str">
        <x:f>_xlfn.LET(_xlpm.r, MATCH($I26, Pivot!$A$11:$A$35, 0),_xlpm.c, MATCH($C$1, Pivot!$B$2:$EU$2, 0),IFERROR(INDEX(Pivot!$B$11:$EU$35, _xlpm.r, _xlpm.c), 0))</x:f>
      </x:c>
      <x:c r="AA26" s="443" t="str">
        <x:f>_xlfn.LET(_xlpm.r, MATCH($I26, Pivot!$A$11:$A$35, 0),_xlpm.c, MATCH($C$2, Pivot!$B$2:$EU$2, 0),IFERROR(INDEX(Pivot!$B$11:$EU$35, _xlpm.r, _xlpm.c), 0))</x:f>
      </x:c>
      <x:c r="AB26" s="443">
        <x:f t="shared" si="6"/>
        <x:v>0</x:v>
      </x:c>
      <x:c r="AC26" s="443" t="n">
        <x:f>IF(AB26&gt;0,MAX(AC$7:$AC25)+1,0)</x:f>
        <x:v>0</x:v>
      </x:c>
      <x:c r="AD26" s="443"/>
      <x:c r="AE26" s="813" t="str">
        <x:f>_xlfn.LET(_xlpm.r, MATCH($I26, Pivot!$A$11:$A$35, 0),_xlpm.c, MATCH($T$1, Pivot!$B$2:$EU$2, 0),IFERROR(INDEX(Pivot!$B$11:$EU$35, _xlpm.r, _xlpm.c), 0))</x:f>
      </x:c>
      <x:c r="AF26" s="813" t="str">
        <x:f>_xlfn.LET(_xlpm.r, MATCH($I26, Pivot!$A$11:$A$35, 0),_xlpm.c, MATCH($T$2, Pivot!$B$2:$EU$2, 0),IFERROR(INDEX(Pivot!$B$11:$EU$35, _xlpm.r, _xlpm.c), 0))</x:f>
      </x:c>
      <x:c r="AG26" s="813">
        <x:f t="shared" si="7"/>
        <x:v>0</x:v>
      </x:c>
      <x:c r="AH26" s="1103" t="n">
        <x:f>IF(AG26&gt;0,MAX($AH$7:AH25)+1,0)</x:f>
        <x:v>0</x:v>
      </x:c>
      <x:c r="AI26" s="383"/>
      <x:c r="AJ26" s="383"/>
      <x:c r="AK26" s="383"/>
      <x:c r="AL26" s="383"/>
      <x:c r="AM26" s="383"/>
      <x:c r="AN26" s="383"/>
      <x:c r="AO26" s="383"/>
      <x:c r="AP26" s="383"/>
      <x:c r="AQ26" s="383"/>
      <x:c r="AR26" s="383"/>
      <x:c r="AS26" s="383"/>
    </x:row>
    <x:row r="27" s="57" customFormat="1" ht="22" customHeight="1">
      <x:c r="A27" s="479"/>
      <x:c r="B27" s="469" t="s">
        <x:v>298</x:v>
      </x:c>
      <x:c r="C27" s="469" t="str">
        <x:f>CONCATENATE("ИТОГО Сумма КоличествоSOFНет",C28)</x:f>
        <x:v>ИТОГО Сумма КоличествоSOFНетSof trusik</x:v>
      </x:c>
      <x:c r="D27" s="469" t="str">
        <x:f>CONCATENATE("ИТОГО Сумма КоличествоSOFДа",C28)</x:f>
        <x:v>ИТОГО Сумма КоличествоSOFДаSof trusik</x:v>
      </x:c>
      <x:c r="E27" s="469" t="str">
        <x:f t="shared" ref="E27" si="8">CONCATENATE("ИТОГО Сумма КоличествоSOFНет",E28)</x:f>
        <x:v>ИТОГО Сумма КоличествоSOFНетSOF</x:v>
      </x:c>
      <x:c r="F27" s="469" t="str">
        <x:f t="shared" ref="F27" si="9">CONCATENATE("ИТОГО Сумма КоличествоSOFДа",E28)</x:f>
        <x:v>ИТОГО Сумма КоличествоSOFДаSOF</x:v>
      </x:c>
      <x:c r="G27" s="469" t="str">
        <x:f t="shared" ref="G27" si="10">CONCATENATE("ИТОГО Сумма КоличествоSOFНет",G28)</x:f>
        <x:v>ИТОГО Сумма КоличествоSOFНетLalaku Malchik</x:v>
      </x:c>
      <x:c r="H27" s="469" t="str">
        <x:f t="shared" ref="H27" si="11">CONCATENATE("ИТОГО Сумма КоличествоSOFДа",G28)</x:f>
        <x:v>ИТОГО Сумма КоличествоSOFДаLalaku Malchik</x:v>
      </x:c>
      <x:c r="I27" s="469" t="str">
        <x:f t="shared" ref="I27" si="12">CONCATENATE("ИТОГО Сумма КоличествоSOFНет",I28)</x:f>
        <x:v>ИТОГО Сумма КоличествоSOFНетLalaku Devochka</x:v>
      </x:c>
      <x:c r="J27" s="469" t="str">
        <x:f t="shared" ref="J27" si="13">CONCATENATE("ИТОГО Сумма КоличествоSOFДа",I28)</x:f>
        <x:v>ИТОГО Сумма КоличествоSOFДаLalaku Devochka</x:v>
      </x:c>
      <x:c r="K27" s="469" t="str">
        <x:f t="shared" ref="K27" si="14">CONCATENATE("ИТОГО Сумма КоличествоSOFНет",K28)</x:f>
        <x:v>ИТОГО Сумма КоличествоSOFНетProkladki</x:v>
      </x:c>
      <x:c r="L27" s="469" t="str">
        <x:f t="shared" ref="L27" si="15">CONCATENATE("ИТОГО Сумма КоличествоSOFДа",K28)</x:f>
        <x:v>ИТОГО Сумма КоличествоSOFДаProkladki</x:v>
      </x:c>
      <x:c r="M27" s="469" t="str">
        <x:f t="shared" ref="M27" si="16">CONCATENATE("ИТОГО Сумма КоличествоSOFНет",M28)</x:f>
        <x:v>ИТОГО Сумма КоличествоSOFНетKattalar tagligi (max)</x:v>
      </x:c>
      <x:c r="N27" s="469" t="str">
        <x:f t="shared" ref="N27" si="17">CONCATENATE("ИТОГО Сумма КоличествоSOFДа",M28)</x:f>
        <x:v>ИТОГО Сумма КоличествоSOFДаKattalar tagligi (max)</x:v>
      </x:c>
      <x:c r="O27" s="469" t="str">
        <x:f t="shared" ref="O27" si="18">CONCATENATE("ИТОГО Сумма КоличествоSOFНет",O28)</x:f>
        <x:v>ИТОГО Сумма КоличествоSOFНетPoslerodovoy</x:v>
      </x:c>
      <x:c r="P27" s="469" t="str">
        <x:f t="shared" ref="P27" si="19">CONCATENATE("ИТОГО Сумма КоличествоSOFДа",O28)</x:f>
        <x:v>ИТОГО Сумма КоличествоSOFДаPoslerodovoy</x:v>
      </x:c>
      <x:c r="Q27" s="469" t="str">
        <x:f t="shared" ref="Q27" si="20">CONCATENATE("ИТОГО Сумма КоличествоSOFНет",Q28)</x:f>
        <x:v>ИТОГО Сумма КоличествоSOFНет2-SORT</x:v>
      </x:c>
      <x:c r="R27" s="469" t="str">
        <x:f t="shared" ref="R27" si="21">CONCATENATE("ИТОГО Сумма КоличествоSOFДа",Q28)</x:f>
        <x:v>ИТОГО Сумма КоличествоSOFДа2-SORT</x:v>
      </x:c>
      <x:c r="S27" s="469" t="str">
        <x:f t="shared" ref="S27" si="22">CONCATENATE("ИТОГО Сумма КоличествоSOFНет",S28)</x:f>
        <x:v>ИТОГО Сумма КоличествоSOFНетGrudnoy</x:v>
      </x:c>
      <x:c r="T27" s="469" t="str">
        <x:f t="shared" ref="T27" si="23">CONCATENATE("ИТОГО Сумма КоличествоSOFДа",S28)</x:f>
        <x:v>ИТОГО Сумма КоличествоSOFДаGrudnoy</x:v>
      </x:c>
      <x:c r="U27" s="1171" t="str">
        <x:f t="shared" ref="U27:AA27" si="24">CONCATENATE("ИТОГО Сумма КоличествоSOFНет",U28)</x:f>
        <x:v>ИТОГО Сумма КоличествоSOFНетPaket</x:v>
      </x:c>
      <x:c r="V27" s="472" t="str">
        <x:f t="shared" ref="V27" si="25">CONCATENATE("ИТОГО Сумма КоличествоSOFДа",U28)</x:f>
        <x:v>ИТОГО Сумма КоличествоSOFДаPaket</x:v>
      </x:c>
      <x:c r="W27" s="469" t="str">
        <x:f t="shared" si="24"/>
        <x:v>ИТОГО Сумма КоличествоSOFНетMaska</x:v>
      </x:c>
      <x:c r="X27" s="472" t="str">
        <x:f t="shared" ref="X27" si="26">CONCATENATE("ИТОГО Сумма КоличествоSOFДа",W28)</x:f>
        <x:v>ИТОГО Сумма КоличествоSOFДаMaska</x:v>
      </x:c>
      <x:c r="Y27" s="472" t="str">
        <x:f t="shared" si="24"/>
        <x:v>ИТОГО Сумма КоличествоSOFНетRoddom sovg'a</x:v>
      </x:c>
      <x:c r="Z27" s="472" t="str">
        <x:f t="shared" ref="Z27" si="27">CONCATENATE("ИТОГО Сумма КоличествоSOFДа",Y28)</x:f>
        <x:v>ИТОГО Сумма КоличествоSOFДаRoddom sovg'a</x:v>
      </x:c>
      <x:c r="AA27" s="472" t="str">
        <x:f t="shared" si="24"/>
        <x:v>ИТОГО Сумма КоличествоSOFНетPolka</x:v>
      </x:c>
      <x:c r="AB27" s="472" t="str">
        <x:f t="shared" ref="AB27" si="28">CONCATENATE("ИТОГО Сумма КоличествоSOFДа",AA28)</x:f>
        <x:v>ИТОГО Сумма КоличествоSOFДаPolka</x:v>
      </x:c>
      <x:c r="AC27" s="472"/>
      <x:c r="AD27" s="472"/>
      <x:c r="AE27" s="472"/>
      <x:c r="AF27" s="472"/>
      <x:c r="AG27" s="472"/>
      <x:c r="AH27" s="415"/>
      <x:c r="AI27" s="415"/>
      <x:c r="AJ27" s="415"/>
      <x:c r="AK27" s="415"/>
      <x:c r="AL27" s="415"/>
      <x:c r="AM27" s="415"/>
      <x:c r="AN27" s="415"/>
      <x:c r="AO27" s="415"/>
      <x:c r="AP27" s="415"/>
      <x:c r="AQ27" s="415"/>
      <x:c r="AR27" s="415"/>
      <x:c r="AS27" s="415"/>
    </x:row>
    <x:row r="28" ht="22" customHeight="1">
      <x:c r="A28" s="480"/>
      <x:c r="B28" s="1106" t="s">
        <x:v>248</x:v>
      </x:c>
      <x:c r="C28" s="1088" t="s">
        <x:v>156</x:v>
      </x:c>
      <x:c r="D28" s="1089"/>
      <x:c r="E28" s="1088" t="s">
        <x:v>8</x:v>
      </x:c>
      <x:c r="F28" s="1089"/>
      <x:c r="G28" s="1088" t="s">
        <x:v>155</x:v>
      </x:c>
      <x:c r="H28" s="1089"/>
      <x:c r="I28" s="1088" t="s">
        <x:v>154</x:v>
      </x:c>
      <x:c r="J28" s="1089"/>
      <x:c r="K28" s="1088" t="s">
        <x:v>148</x:v>
      </x:c>
      <x:c r="L28" s="1089"/>
      <x:c r="M28" s="1088" t="s">
        <x:v>153</x:v>
      </x:c>
      <x:c r="N28" s="1089"/>
      <x:c r="O28" s="1088" t="s">
        <x:v>147</x:v>
      </x:c>
      <x:c r="P28" s="1089"/>
      <x:c r="Q28" s="1088" t="s">
        <x:v>299</x:v>
      </x:c>
      <x:c r="R28" s="1089"/>
      <x:c r="S28" s="1088" t="s">
        <x:v>142</x:v>
      </x:c>
      <x:c r="T28" s="1089"/>
      <x:c r="U28" s="1088" t="s">
        <x:v>145</x:v>
      </x:c>
      <x:c r="V28" s="1089"/>
      <x:c r="W28" s="447" t="s">
        <x:v>144</x:v>
      </x:c>
      <x:c r="X28" s="383"/>
      <x:c r="Y28" s="443" t="s">
        <x:v>152</x:v>
      </x:c>
      <x:c r="Z28" s="383"/>
      <x:c r="AA28" s="443" t="s">
        <x:v>146</x:v>
      </x:c>
      <x:c r="AB28" s="383"/>
      <x:c r="AC28" s="383"/>
      <x:c r="AD28" s="383"/>
      <x:c r="AE28" s="383"/>
      <x:c r="AF28" s="383"/>
      <x:c r="AG28" s="383"/>
      <x:c r="AH28" s="383"/>
      <x:c r="AI28" s="383"/>
      <x:c r="AJ28" s="383"/>
      <x:c r="AK28" s="383"/>
      <x:c r="AL28" s="383"/>
      <x:c r="AM28" s="383"/>
      <x:c r="AN28" s="383"/>
      <x:c r="AO28" s="383"/>
      <x:c r="AP28" s="383"/>
      <x:c r="AQ28" s="383"/>
      <x:c r="AR28" s="383"/>
      <x:c r="AS28" s="383"/>
    </x:row>
    <x:row r="29" ht="22" customHeight="1">
      <x:c r="A29" s="479"/>
      <x:c r="B29" s="1172"/>
      <x:c r="C29" s="1173" t="s">
        <x:v>251</x:v>
      </x:c>
      <x:c r="D29" s="1174" t="s">
        <x:v>252</x:v>
      </x:c>
      <x:c r="E29" s="1173" t="s">
        <x:v>251</x:v>
      </x:c>
      <x:c r="F29" s="1174" t="s">
        <x:v>252</x:v>
      </x:c>
      <x:c r="G29" s="1173" t="s">
        <x:v>251</x:v>
      </x:c>
      <x:c r="H29" s="1175" t="s">
        <x:v>252</x:v>
      </x:c>
      <x:c r="I29" s="1164" t="s">
        <x:v>251</x:v>
      </x:c>
      <x:c r="J29" s="1176" t="s">
        <x:v>252</x:v>
      </x:c>
      <x:c r="K29" s="1173" t="s">
        <x:v>251</x:v>
      </x:c>
      <x:c r="L29" s="1174" t="s">
        <x:v>252</x:v>
      </x:c>
      <x:c r="M29" s="1173" t="s">
        <x:v>251</x:v>
      </x:c>
      <x:c r="N29" s="1174" t="s">
        <x:v>252</x:v>
      </x:c>
      <x:c r="O29" s="1173" t="s">
        <x:v>251</x:v>
      </x:c>
      <x:c r="P29" s="1174" t="s">
        <x:v>252</x:v>
      </x:c>
      <x:c r="Q29" s="1173" t="s">
        <x:v>251</x:v>
      </x:c>
      <x:c r="R29" s="1174" t="s">
        <x:v>252</x:v>
      </x:c>
      <x:c r="S29" s="1173" t="s">
        <x:v>251</x:v>
      </x:c>
      <x:c r="T29" s="1174" t="s">
        <x:v>252</x:v>
      </x:c>
      <x:c r="U29" s="1177" t="s">
        <x:v>251</x:v>
      </x:c>
      <x:c r="V29" s="908" t="s">
        <x:v>252</x:v>
      </x:c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  <x:c r="AM29" s="415"/>
      <x:c r="AN29" s="415"/>
      <x:c r="AO29" s="415"/>
      <x:c r="AP29" s="415"/>
      <x:c r="AQ29" s="415"/>
      <x:c r="AR29" s="415"/>
      <x:c r="AS29" s="415"/>
    </x:row>
    <x:row r="30" ht="22" customHeight="1">
      <x:c r="A30" s="1112" t="s">
        <x:v>157</x:v>
      </x:c>
      <x:c r="B30" s="1113" t="s">
        <x:v>17</x:v>
      </x:c>
      <x:c r="C30" s="1114" t="n" cm="1">
        <x:f t="array" ref="C30">IFERROR(_xlfn.XLOOKUP(C$27,Pivot!$B$2:$EU$2,_xlfn.XLOOKUP($A30,Pivot!$A$11:$A$35,Pivot!$B$11:$EU$35),0,0),0)</x:f>
        <x:v>24</x:v>
      </x:c>
      <x:c r="D30" s="1114" t="str" cm="1">
        <x:f t="array" ref="D30">IFERROR(_xlfn.XLOOKUP(D$27,Pivot!$B$2:$EU$2,_xlfn.XLOOKUP($A30,Pivot!$A$11:$A$35,Pivot!$B$11:$EU$35),0,0),0)</x:f>
      </x:c>
      <x:c r="E30" s="1114" t="n" cm="1">
        <x:f t="array" ref="E30">IFERROR(_xlfn.XLOOKUP(E$27,Pivot!$B$2:$EU$2,_xlfn.XLOOKUP($A30,Pivot!$A$11:$A$35,Pivot!$B$11:$EU$35),0,0),0)</x:f>
        <x:v>114</x:v>
      </x:c>
      <x:c r="F30" s="1114" t="str" cm="1">
        <x:f t="array" ref="F30">IFERROR(_xlfn.XLOOKUP(F$27,Pivot!$B$2:$EU$2,_xlfn.XLOOKUP($A30,Pivot!$A$11:$A$35,Pivot!$B$11:$EU$35),0,0),0)</x:f>
      </x:c>
      <x:c r="G30" s="1114" t="n" cm="1">
        <x:f t="array" ref="G30">IFERROR(_xlfn.XLOOKUP(G$27,Pivot!$B$2:$EU$2,_xlfn.XLOOKUP($A30,Pivot!$A$11:$A$35,Pivot!$B$11:$EU$35),0,0),0)</x:f>
        <x:v>3</x:v>
      </x:c>
      <x:c r="H30" s="1114" t="str" cm="1">
        <x:f t="array" ref="H30">IFERROR(_xlfn.XLOOKUP(H$27,Pivot!$B$2:$EU$2,_xlfn.XLOOKUP($A30,Pivot!$A$11:$A$35,Pivot!$B$11:$EU$35),0,0),0)</x:f>
      </x:c>
      <x:c r="I30" s="1114" t="n" cm="1">
        <x:f t="array" ref="I30">IFERROR(_xlfn.XLOOKUP(I$27,Pivot!$B$2:$EU$2,_xlfn.XLOOKUP($A30,Pivot!$A$11:$A$35,Pivot!$B$11:$EU$35),0,0),0)</x:f>
        <x:v>2</x:v>
      </x:c>
      <x:c r="J30" s="1114" t="str" cm="1">
        <x:f t="array" ref="J30">IFERROR(_xlfn.XLOOKUP(J$27,Pivot!$B$2:$EU$2,_xlfn.XLOOKUP($A30,Pivot!$A$11:$A$35,Pivot!$B$11:$EU$35),0,0),0)</x:f>
      </x:c>
      <x:c r="K30" s="1114" t="n" cm="1">
        <x:f t="array" ref="K30">IFERROR(_xlfn.XLOOKUP(K$27,Pivot!$B$2:$EU$2,_xlfn.XLOOKUP($A30,Pivot!$A$11:$A$35,Pivot!$B$11:$EU$35),0,0),0)</x:f>
        <x:v>187</x:v>
      </x:c>
      <x:c r="L30" s="1114" t="str" cm="1">
        <x:f t="array" ref="L30">IFERROR(_xlfn.XLOOKUP(L$27,Pivot!$B$2:$EU$2,_xlfn.XLOOKUP($A30,Pivot!$A$11:$A$35,Pivot!$B$11:$EU$35),0,0),0)</x:f>
      </x:c>
      <x:c r="M30" s="1114" t="n" cm="1">
        <x:f t="array" ref="M30">IFERROR(_xlfn.XLOOKUP(M$27,Pivot!$B$2:$EU$2,_xlfn.XLOOKUP($A30,Pivot!$A$11:$A$35,Pivot!$B$11:$EU$35),0,0),0)</x:f>
        <x:v>8</x:v>
      </x:c>
      <x:c r="N30" s="1114" t="str" cm="1">
        <x:f t="array" ref="N30">IFERROR(_xlfn.XLOOKUP(N$27,Pivot!$B$2:$EU$2,_xlfn.XLOOKUP($A30,Pivot!$A$11:$A$35,Pivot!$B$11:$EU$35),0,0),0)</x:f>
      </x:c>
      <x:c r="O30" s="1114" t="str" cm="1">
        <x:f t="array" ref="O30">IFERROR(_xlfn.XLOOKUP(O$27,Pivot!$B$2:$EU$2,_xlfn.XLOOKUP($A30,Pivot!$A$11:$A$35,Pivot!$B$11:$EU$35),0,0),0)</x:f>
      </x:c>
      <x:c r="P30" s="1114" t="str" cm="1">
        <x:f t="array" ref="P30">IFERROR(_xlfn.XLOOKUP(P$27,Pivot!$B$2:$EU$2,_xlfn.XLOOKUP($A30,Pivot!$A$11:$A$35,Pivot!$B$11:$EU$35),0,0),0)</x:f>
      </x:c>
      <x:c r="Q30" s="1114" t="n" cm="1">
        <x:f t="array" ref="Q30">IFERROR(_xlfn.XLOOKUP(Q$27,Pivot!$B$2:$EU$2,_xlfn.XLOOKUP($A30,Pivot!$A$11:$A$35,Pivot!$B$11:$EU$35),0,0),0)</x:f>
        <x:v>0</x:v>
      </x:c>
      <x:c r="R30" s="1114" t="n" cm="1">
        <x:f t="array" ref="R30">IFERROR(_xlfn.XLOOKUP(R$27,Pivot!$B$2:$EU$2,_xlfn.XLOOKUP($A30,Pivot!$A$11:$A$35,Pivot!$B$11:$EU$35),0,0),0)</x:f>
        <x:v>0</x:v>
      </x:c>
      <x:c r="S30" s="1114" t="str" cm="1">
        <x:f t="array" ref="S30">IFERROR(_xlfn.XLOOKUP(S$27,Pivot!$B$2:$EU$2,_xlfn.XLOOKUP($A30,Pivot!$A$11:$A$35,Pivot!$B$11:$EU$35),0,0),0)</x:f>
      </x:c>
      <x:c r="T30" s="1114" t="str" cm="1">
        <x:f t="array" ref="T30">IFERROR(_xlfn.XLOOKUP(T$27,Pivot!$B$2:$EU$2,_xlfn.XLOOKUP($A30,Pivot!$A$11:$A$35,Pivot!$B$11:$EU$35),0,0),0)</x:f>
      </x:c>
      <x:c r="U30" s="1114" t="str" cm="1">
        <x:f t="array" ref="U30">IFERROR(_xlfn.XLOOKUP(U$27,Pivot!$B$2:$EU$2,_xlfn.XLOOKUP($A30,Pivot!$A$11:$A$35,Pivot!$B$11:$EU$35),0,0),0)</x:f>
      </x:c>
      <x:c r="V30" s="1114" t="str" cm="1">
        <x:f t="array" ref="V30">IFERROR(_xlfn.XLOOKUP(V$27,Pivot!$B$2:$EU$2,_xlfn.XLOOKUP($A30,Pivot!$A$11:$A$35,Pivot!$B$11:$EU$35),0,0),0)</x:f>
      </x:c>
      <x:c r="W30" s="447" t="str" cm="1">
        <x:f t="array" ref="W30">IFERROR(_xlfn.XLOOKUP(W$27,Pivot!$B$2:$EU$2,_xlfn.XLOOKUP($A30,Pivot!$A$11:$A$35,Pivot!$B$11:$EU$35),0,0),0)</x:f>
      </x:c>
      <x:c r="X30" s="812" t="str" cm="1">
        <x:f t="array" ref="X30">IFERROR(_xlfn.XLOOKUP(X$27,Pivot!$B$2:$EU$2,_xlfn.XLOOKUP($A30,Pivot!$A$11:$A$35,Pivot!$B$11:$EU$35),0,0),0)</x:f>
      </x:c>
      <x:c r="Y30" s="443" t="n" cm="1">
        <x:f t="array" ref="Y30">IFERROR(_xlfn.XLOOKUP(Y$27,Pivot!$B$2:$EU$2,_xlfn.XLOOKUP($A30,Pivot!$A$11:$A$35,Pivot!$B$11:$EU$35),0,0),0)</x:f>
        <x:v>0</x:v>
      </x:c>
      <x:c r="Z30" s="443" t="str" cm="1">
        <x:f t="array" ref="Z30">IFERROR(_xlfn.XLOOKUP(Z$27,Pivot!$B$2:$EU$2,_xlfn.XLOOKUP($A30,Pivot!$A$11:$A$35,Pivot!$B$11:$EU$35),0,0),0)</x:f>
      </x:c>
      <x:c r="AA30" s="443" t="n" cm="1">
        <x:f t="array" ref="AA30">IFERROR(_xlfn.XLOOKUP(AA$27,Pivot!$B$2:$EU$2,_xlfn.XLOOKUP($A30,Pivot!$A$11:$A$35,Pivot!$B$11:$EU$35),0,0),0)</x:f>
        <x:v>0</x:v>
      </x:c>
      <x:c r="AB30" s="443" t="str" cm="1">
        <x:f t="array" ref="AB30">IFERROR(_xlfn.XLOOKUP(AB$27,Pivot!$B$2:$EU$2,_xlfn.XLOOKUP($A30,Pivot!$A$11:$A$35,Pivot!$B$11:$EU$35),0,0),0)</x:f>
      </x:c>
      <x:c r="AC30" s="383"/>
      <x:c r="AD30" s="383"/>
      <x:c r="AE30" s="383"/>
      <x:c r="AF30" s="383"/>
      <x:c r="AG30" s="383"/>
      <x:c r="AH30" s="383"/>
      <x:c r="AI30" s="383"/>
      <x:c r="AJ30" s="383"/>
      <x:c r="AK30" s="383"/>
      <x:c r="AL30" s="383"/>
      <x:c r="AM30" s="383"/>
      <x:c r="AN30" s="383"/>
      <x:c r="AO30" s="383"/>
      <x:c r="AP30" s="383"/>
      <x:c r="AQ30" s="383"/>
      <x:c r="AR30" s="383"/>
      <x:c r="AS30" s="383"/>
    </x:row>
    <x:row r="31" ht="22" customHeight="1">
      <x:c r="A31" s="1178" t="s">
        <x:v>164</x:v>
      </x:c>
      <x:c r="B31" s="1179" t="s">
        <x:v>29</x:v>
      </x:c>
      <x:c r="C31" s="1180" t="n" cm="1">
        <x:f t="array" ref="C31">IFERROR(_xlfn.XLOOKUP(C$27,Pivot!$B$2:$EU$2,_xlfn.XLOOKUP($A31,Pivot!$A$11:$A$35,Pivot!$B$11:$EU$35),0,0),0)</x:f>
        <x:v>62</x:v>
      </x:c>
      <x:c r="D31" s="1180" t="n" cm="1">
        <x:f t="array" ref="D31">IFERROR(_xlfn.XLOOKUP(D$27,Pivot!$B$2:$EU$2,_xlfn.XLOOKUP($A31,Pivot!$A$11:$A$35,Pivot!$B$11:$EU$35),0,0),0)</x:f>
        <x:v>318</x:v>
      </x:c>
      <x:c r="E31" s="1180" t="n" cm="1">
        <x:f t="array" ref="E31">IFERROR(_xlfn.XLOOKUP(E$27,Pivot!$B$2:$EU$2,_xlfn.XLOOKUP($A31,Pivot!$A$11:$A$35,Pivot!$B$11:$EU$35),0,0),0)</x:f>
        <x:v>88</x:v>
      </x:c>
      <x:c r="F31" s="1180" t="n" cm="1">
        <x:f t="array" ref="F31">IFERROR(_xlfn.XLOOKUP(F$27,Pivot!$B$2:$EU$2,_xlfn.XLOOKUP($A31,Pivot!$A$11:$A$35,Pivot!$B$11:$EU$35),0,0),0)</x:f>
        <x:v>595</x:v>
      </x:c>
      <x:c r="G31" s="1180" t="n" cm="1">
        <x:f t="array" ref="G31">IFERROR(_xlfn.XLOOKUP(G$27,Pivot!$B$2:$EU$2,_xlfn.XLOOKUP($A31,Pivot!$A$11:$A$35,Pivot!$B$11:$EU$35),0,0),0)</x:f>
        <x:v>41</x:v>
      </x:c>
      <x:c r="H31" s="1180" t="n" cm="1">
        <x:f t="array" ref="H31">IFERROR(_xlfn.XLOOKUP(H$27,Pivot!$B$2:$EU$2,_xlfn.XLOOKUP($A31,Pivot!$A$11:$A$35,Pivot!$B$11:$EU$35),0,0),0)</x:f>
        <x:v>188</x:v>
      </x:c>
      <x:c r="I31" s="1180" t="n" cm="1">
        <x:f t="array" ref="I31">IFERROR(_xlfn.XLOOKUP(I$27,Pivot!$B$2:$EU$2,_xlfn.XLOOKUP($A31,Pivot!$A$11:$A$35,Pivot!$B$11:$EU$35),0,0),0)</x:f>
        <x:v>3</x:v>
      </x:c>
      <x:c r="J31" s="1180" t="n" cm="1">
        <x:f t="array" ref="J31">IFERROR(_xlfn.XLOOKUP(J$27,Pivot!$B$2:$EU$2,_xlfn.XLOOKUP($A31,Pivot!$A$11:$A$35,Pivot!$B$11:$EU$35),0,0),0)</x:f>
        <x:v>16</x:v>
      </x:c>
      <x:c r="K31" s="1180" t="n" cm="1">
        <x:f t="array" ref="K31">IFERROR(_xlfn.XLOOKUP(K$27,Pivot!$B$2:$EU$2,_xlfn.XLOOKUP($A31,Pivot!$A$11:$A$35,Pivot!$B$11:$EU$35),0,0),0)</x:f>
        <x:v>105</x:v>
      </x:c>
      <x:c r="L31" s="1180" t="n" cm="1">
        <x:f t="array" ref="L31">IFERROR(_xlfn.XLOOKUP(L$27,Pivot!$B$2:$EU$2,_xlfn.XLOOKUP($A31,Pivot!$A$11:$A$35,Pivot!$B$11:$EU$35),0,0),0)</x:f>
        <x:v>210</x:v>
      </x:c>
      <x:c r="M31" s="1180" t="n" cm="1">
        <x:f t="array" ref="M31">IFERROR(_xlfn.XLOOKUP(M$27,Pivot!$B$2:$EU$2,_xlfn.XLOOKUP($A31,Pivot!$A$11:$A$35,Pivot!$B$11:$EU$35),0,0),0)</x:f>
        <x:v>6</x:v>
      </x:c>
      <x:c r="N31" s="1180" t="n" cm="1">
        <x:f t="array" ref="N31">IFERROR(_xlfn.XLOOKUP(N$27,Pivot!$B$2:$EU$2,_xlfn.XLOOKUP($A31,Pivot!$A$11:$A$35,Pivot!$B$11:$EU$35),0,0),0)</x:f>
        <x:v>25</x:v>
      </x:c>
      <x:c r="O31" s="1180" t="n" cm="1">
        <x:f t="array" ref="O31">IFERROR(_xlfn.XLOOKUP(O$27,Pivot!$B$2:$EU$2,_xlfn.XLOOKUP($A31,Pivot!$A$11:$A$35,Pivot!$B$11:$EU$35),0,0),0)</x:f>
        <x:v>5</x:v>
      </x:c>
      <x:c r="P31" s="1180" t="n" cm="1">
        <x:f t="array" ref="P31">IFERROR(_xlfn.XLOOKUP(P$27,Pivot!$B$2:$EU$2,_xlfn.XLOOKUP($A31,Pivot!$A$11:$A$35,Pivot!$B$11:$EU$35),0,0),0)</x:f>
        <x:v>10</x:v>
      </x:c>
      <x:c r="Q31" s="1180" t="n" cm="1">
        <x:f t="array" ref="Q31">IFERROR(_xlfn.XLOOKUP(Q$27,Pivot!$B$2:$EU$2,_xlfn.XLOOKUP($A31,Pivot!$A$11:$A$35,Pivot!$B$11:$EU$35),0,0),0)</x:f>
        <x:v>0</x:v>
      </x:c>
      <x:c r="R31" s="1180" t="n" cm="1">
        <x:f t="array" ref="R31">IFERROR(_xlfn.XLOOKUP(R$27,Pivot!$B$2:$EU$2,_xlfn.XLOOKUP($A31,Pivot!$A$11:$A$35,Pivot!$B$11:$EU$35),0,0),0)</x:f>
        <x:v>0</x:v>
      </x:c>
      <x:c r="S31" s="1180" t="str" cm="1">
        <x:f t="array" ref="S31">IFERROR(_xlfn.XLOOKUP(S$27,Pivot!$B$2:$EU$2,_xlfn.XLOOKUP($A31,Pivot!$A$11:$A$35,Pivot!$B$11:$EU$35),0,0),0)</x:f>
      </x:c>
      <x:c r="T31" s="1180" t="n" cm="1">
        <x:f t="array" ref="T31">IFERROR(_xlfn.XLOOKUP(T$27,Pivot!$B$2:$EU$2,_xlfn.XLOOKUP($A31,Pivot!$A$11:$A$35,Pivot!$B$11:$EU$35),0,0),0)</x:f>
        <x:v>31</x:v>
      </x:c>
      <x:c r="U31" s="1180" t="str" cm="1">
        <x:f t="array" ref="U31">IFERROR(_xlfn.XLOOKUP(U$27,Pivot!$B$2:$EU$2,_xlfn.XLOOKUP($A31,Pivot!$A$11:$A$35,Pivot!$B$11:$EU$35),0,0),0)</x:f>
      </x:c>
      <x:c r="V31" s="1180" t="str" cm="1">
        <x:f t="array" ref="V31">IFERROR(_xlfn.XLOOKUP(V$27,Pivot!$B$2:$EU$2,_xlfn.XLOOKUP($A31,Pivot!$A$11:$A$35,Pivot!$B$11:$EU$35),0,0),0)</x:f>
      </x:c>
      <x:c r="W31" s="469" t="str" cm="1">
        <x:f t="array" ref="W31">IFERROR(_xlfn.XLOOKUP(W$27,Pivot!$B$2:$EU$2,_xlfn.XLOOKUP($A31,Pivot!$A$11:$A$35,Pivot!$B$11:$EU$35),0,0),0)</x:f>
      </x:c>
      <x:c r="X31" s="903" t="n" cm="1">
        <x:f t="array" ref="X31">IFERROR(_xlfn.XLOOKUP(X$27,Pivot!$B$2:$EU$2,_xlfn.XLOOKUP($A31,Pivot!$A$11:$A$35,Pivot!$B$11:$EU$35),0,0),0)</x:f>
        <x:v>20</x:v>
      </x:c>
      <x:c r="Y31" s="472" t="n" cm="1">
        <x:f t="array" ref="Y31">IFERROR(_xlfn.XLOOKUP(Y$27,Pivot!$B$2:$EU$2,_xlfn.XLOOKUP($A31,Pivot!$A$11:$A$35,Pivot!$B$11:$EU$35),0,0),0)</x:f>
        <x:v>0</x:v>
      </x:c>
      <x:c r="Z31" s="472" t="str" cm="1">
        <x:f t="array" ref="Z31">IFERROR(_xlfn.XLOOKUP(Z$27,Pivot!$B$2:$EU$2,_xlfn.XLOOKUP($A31,Pivot!$A$11:$A$35,Pivot!$B$11:$EU$35),0,0),0)</x:f>
      </x:c>
      <x:c r="AA31" s="472" t="n" cm="1">
        <x:f t="array" ref="AA31">IFERROR(_xlfn.XLOOKUP(AA$27,Pivot!$B$2:$EU$2,_xlfn.XLOOKUP($A31,Pivot!$A$11:$A$35,Pivot!$B$11:$EU$35),0,0),0)</x:f>
        <x:v>0</x:v>
      </x:c>
      <x:c r="AB31" s="472" t="str" cm="1">
        <x:f t="array" ref="AB31">IFERROR(_xlfn.XLOOKUP(AB$27,Pivot!$B$2:$EU$2,_xlfn.XLOOKUP($A31,Pivot!$A$11:$A$35,Pivot!$B$11:$EU$35),0,0),0)</x:f>
      </x:c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  <x:c r="AM31" s="415"/>
      <x:c r="AN31" s="415"/>
      <x:c r="AO31" s="415"/>
      <x:c r="AP31" s="415"/>
      <x:c r="AQ31" s="415"/>
      <x:c r="AR31" s="415"/>
      <x:c r="AS31" s="415"/>
    </x:row>
    <x:row r="32" ht="22" customHeight="1">
      <x:c r="A32" s="1112" t="s">
        <x:v>160</x:v>
      </x:c>
      <x:c r="B32" s="1113" t="s">
        <x:v>189</x:v>
      </x:c>
      <x:c r="C32" s="1114" t="n" cm="1">
        <x:f t="array" ref="C32">IFERROR(_xlfn.XLOOKUP(C$27,Pivot!$B$2:$EU$2,_xlfn.XLOOKUP($A32,Pivot!$A$11:$A$35,Pivot!$B$11:$EU$35),0,0),0)</x:f>
        <x:v>4</x:v>
      </x:c>
      <x:c r="D32" s="1114" t="n" cm="1">
        <x:f t="array" ref="D32">IFERROR(_xlfn.XLOOKUP(D$27,Pivot!$B$2:$EU$2,_xlfn.XLOOKUP($A32,Pivot!$A$11:$A$35,Pivot!$B$11:$EU$35),0,0),0)</x:f>
        <x:v>132</x:v>
      </x:c>
      <x:c r="E32" s="1114" t="str" cm="1">
        <x:f t="array" ref="E32">IFERROR(_xlfn.XLOOKUP(E$27,Pivot!$B$2:$EU$2,_xlfn.XLOOKUP($A32,Pivot!$A$11:$A$35,Pivot!$B$11:$EU$35),0,0),0)</x:f>
      </x:c>
      <x:c r="F32" s="1114" t="n" cm="1">
        <x:f t="array" ref="F32">IFERROR(_xlfn.XLOOKUP(F$27,Pivot!$B$2:$EU$2,_xlfn.XLOOKUP($A32,Pivot!$A$11:$A$35,Pivot!$B$11:$EU$35),0,0),0)</x:f>
        <x:v>180</x:v>
      </x:c>
      <x:c r="G32" s="1114" t="str" cm="1">
        <x:f t="array" ref="G32">IFERROR(_xlfn.XLOOKUP(G$27,Pivot!$B$2:$EU$2,_xlfn.XLOOKUP($A32,Pivot!$A$11:$A$35,Pivot!$B$11:$EU$35),0,0),0)</x:f>
      </x:c>
      <x:c r="H32" s="1114" t="n" cm="1">
        <x:f t="array" ref="H32">IFERROR(_xlfn.XLOOKUP(H$27,Pivot!$B$2:$EU$2,_xlfn.XLOOKUP($A32,Pivot!$A$11:$A$35,Pivot!$B$11:$EU$35),0,0),0)</x:f>
        <x:v>32</x:v>
      </x:c>
      <x:c r="I32" s="1114" t="str" cm="1">
        <x:f t="array" ref="I32">IFERROR(_xlfn.XLOOKUP(I$27,Pivot!$B$2:$EU$2,_xlfn.XLOOKUP($A32,Pivot!$A$11:$A$35,Pivot!$B$11:$EU$35),0,0),0)</x:f>
      </x:c>
      <x:c r="J32" s="1114" t="n" cm="1">
        <x:f t="array" ref="J32">IFERROR(_xlfn.XLOOKUP(J$27,Pivot!$B$2:$EU$2,_xlfn.XLOOKUP($A32,Pivot!$A$11:$A$35,Pivot!$B$11:$EU$35),0,0),0)</x:f>
        <x:v>20</x:v>
      </x:c>
      <x:c r="K32" s="1114" t="str" cm="1">
        <x:f t="array" ref="K32">IFERROR(_xlfn.XLOOKUP(K$27,Pivot!$B$2:$EU$2,_xlfn.XLOOKUP($A32,Pivot!$A$11:$A$35,Pivot!$B$11:$EU$35),0,0),0)</x:f>
      </x:c>
      <x:c r="L32" s="1114" t="n" cm="1">
        <x:f t="array" ref="L32">IFERROR(_xlfn.XLOOKUP(L$27,Pivot!$B$2:$EU$2,_xlfn.XLOOKUP($A32,Pivot!$A$11:$A$35,Pivot!$B$11:$EU$35),0,0),0)</x:f>
        <x:v>271</x:v>
      </x:c>
      <x:c r="M32" s="1114" t="str" cm="1">
        <x:f t="array" ref="M32">IFERROR(_xlfn.XLOOKUP(M$27,Pivot!$B$2:$EU$2,_xlfn.XLOOKUP($A32,Pivot!$A$11:$A$35,Pivot!$B$11:$EU$35),0,0),0)</x:f>
      </x:c>
      <x:c r="N32" s="1114" t="n" cm="1">
        <x:f t="array" ref="N32">IFERROR(_xlfn.XLOOKUP(N$27,Pivot!$B$2:$EU$2,_xlfn.XLOOKUP($A32,Pivot!$A$11:$A$35,Pivot!$B$11:$EU$35),0,0),0)</x:f>
        <x:v>16</x:v>
      </x:c>
      <x:c r="O32" s="1114" t="str" cm="1">
        <x:f t="array" ref="O32">IFERROR(_xlfn.XLOOKUP(O$27,Pivot!$B$2:$EU$2,_xlfn.XLOOKUP($A32,Pivot!$A$11:$A$35,Pivot!$B$11:$EU$35),0,0),0)</x:f>
      </x:c>
      <x:c r="P32" s="1114" t="n" cm="1">
        <x:f t="array" ref="P32">IFERROR(_xlfn.XLOOKUP(P$27,Pivot!$B$2:$EU$2,_xlfn.XLOOKUP($A32,Pivot!$A$11:$A$35,Pivot!$B$11:$EU$35),0,0),0)</x:f>
        <x:v>10</x:v>
      </x:c>
      <x:c r="Q32" s="1114" t="n" cm="1">
        <x:f t="array" ref="Q32">IFERROR(_xlfn.XLOOKUP(Q$27,Pivot!$B$2:$EU$2,_xlfn.XLOOKUP($A32,Pivot!$A$11:$A$35,Pivot!$B$11:$EU$35),0,0),0)</x:f>
        <x:v>0</x:v>
      </x:c>
      <x:c r="R32" s="1114" t="n" cm="1">
        <x:f t="array" ref="R32">IFERROR(_xlfn.XLOOKUP(R$27,Pivot!$B$2:$EU$2,_xlfn.XLOOKUP($A32,Pivot!$A$11:$A$35,Pivot!$B$11:$EU$35),0,0),0)</x:f>
        <x:v>0</x:v>
      </x:c>
      <x:c r="S32" s="1114" t="str" cm="1">
        <x:f t="array" ref="S32">IFERROR(_xlfn.XLOOKUP(S$27,Pivot!$B$2:$EU$2,_xlfn.XLOOKUP($A32,Pivot!$A$11:$A$35,Pivot!$B$11:$EU$35),0,0),0)</x:f>
      </x:c>
      <x:c r="T32" s="1114" t="str" cm="1">
        <x:f t="array" ref="T32">IFERROR(_xlfn.XLOOKUP(T$27,Pivot!$B$2:$EU$2,_xlfn.XLOOKUP($A32,Pivot!$A$11:$A$35,Pivot!$B$11:$EU$35),0,0),0)</x:f>
      </x:c>
      <x:c r="U32" s="1114" t="str" cm="1">
        <x:f t="array" ref="U32">IFERROR(_xlfn.XLOOKUP(U$27,Pivot!$B$2:$EU$2,_xlfn.XLOOKUP($A32,Pivot!$A$11:$A$35,Pivot!$B$11:$EU$35),0,0),0)</x:f>
      </x:c>
      <x:c r="V32" s="1114" t="str" cm="1">
        <x:f t="array" ref="V32">IFERROR(_xlfn.XLOOKUP(V$27,Pivot!$B$2:$EU$2,_xlfn.XLOOKUP($A32,Pivot!$A$11:$A$35,Pivot!$B$11:$EU$35),0,0),0)</x:f>
      </x:c>
      <x:c r="W32" s="447" t="str" cm="1">
        <x:f t="array" ref="W32">IFERROR(_xlfn.XLOOKUP(W$27,Pivot!$B$2:$EU$2,_xlfn.XLOOKUP($A32,Pivot!$A$11:$A$35,Pivot!$B$11:$EU$35),0,0),0)</x:f>
      </x:c>
      <x:c r="X32" s="812" t="str" cm="1">
        <x:f t="array" ref="X32">IFERROR(_xlfn.XLOOKUP(X$27,Pivot!$B$2:$EU$2,_xlfn.XLOOKUP($A32,Pivot!$A$11:$A$35,Pivot!$B$11:$EU$35),0,0),0)</x:f>
      </x:c>
      <x:c r="Y32" s="443" t="n" cm="1">
        <x:f t="array" ref="Y32">IFERROR(_xlfn.XLOOKUP(Y$27,Pivot!$B$2:$EU$2,_xlfn.XLOOKUP($A32,Pivot!$A$11:$A$35,Pivot!$B$11:$EU$35),0,0),0)</x:f>
        <x:v>0</x:v>
      </x:c>
      <x:c r="Z32" s="443" t="str" cm="1">
        <x:f t="array" ref="Z32">IFERROR(_xlfn.XLOOKUP(Z$27,Pivot!$B$2:$EU$2,_xlfn.XLOOKUP($A32,Pivot!$A$11:$A$35,Pivot!$B$11:$EU$35),0,0),0)</x:f>
      </x:c>
      <x:c r="AA32" s="443" t="n" cm="1">
        <x:f t="array" ref="AA32">IFERROR(_xlfn.XLOOKUP(AA$27,Pivot!$B$2:$EU$2,_xlfn.XLOOKUP($A32,Pivot!$A$11:$A$35,Pivot!$B$11:$EU$35),0,0),0)</x:f>
        <x:v>0</x:v>
      </x:c>
      <x:c r="AB32" s="443" t="n" cm="1">
        <x:f t="array" ref="AB32">IFERROR(_xlfn.XLOOKUP(AB$27,Pivot!$B$2:$EU$2,_xlfn.XLOOKUP($A32,Pivot!$A$11:$A$35,Pivot!$B$11:$EU$35),0,0),0)</x:f>
        <x:v>1</x:v>
      </x:c>
      <x:c r="AC32" s="383"/>
      <x:c r="AD32" s="383"/>
      <x:c r="AE32" s="383"/>
      <x:c r="AF32" s="383"/>
      <x:c r="AG32" s="383"/>
      <x:c r="AH32" s="383"/>
      <x:c r="AI32" s="383"/>
      <x:c r="AJ32" s="383"/>
      <x:c r="AK32" s="383"/>
      <x:c r="AL32" s="383"/>
      <x:c r="AM32" s="383"/>
      <x:c r="AN32" s="383"/>
      <x:c r="AO32" s="383"/>
      <x:c r="AP32" s="383"/>
      <x:c r="AQ32" s="383"/>
      <x:c r="AR32" s="383"/>
      <x:c r="AS32" s="383"/>
    </x:row>
    <x:row r="33" ht="22" customHeight="1">
      <x:c r="A33" s="1178" t="s">
        <x:v>169</x:v>
      </x:c>
      <x:c r="B33" s="1179" t="s">
        <x:v>191</x:v>
      </x:c>
      <x:c r="C33" s="1180" t="n" cm="1">
        <x:f t="array" ref="C33">IFERROR(_xlfn.XLOOKUP(C$27,Pivot!$B$2:$EU$2,_xlfn.XLOOKUP($A33,Pivot!$A$11:$A$35,Pivot!$B$11:$EU$35),0,0),0)</x:f>
        <x:v>53</x:v>
      </x:c>
      <x:c r="D33" s="1180" t="n" cm="1">
        <x:f t="array" ref="D33">IFERROR(_xlfn.XLOOKUP(D$27,Pivot!$B$2:$EU$2,_xlfn.XLOOKUP($A33,Pivot!$A$11:$A$35,Pivot!$B$11:$EU$35),0,0),0)</x:f>
        <x:v>256</x:v>
      </x:c>
      <x:c r="E33" s="1180" t="n" cm="1">
        <x:f t="array" ref="E33">IFERROR(_xlfn.XLOOKUP(E$27,Pivot!$B$2:$EU$2,_xlfn.XLOOKUP($A33,Pivot!$A$11:$A$35,Pivot!$B$11:$EU$35),0,0),0)</x:f>
        <x:v>78</x:v>
      </x:c>
      <x:c r="F33" s="1180" t="n" cm="1">
        <x:f t="array" ref="F33">IFERROR(_xlfn.XLOOKUP(F$27,Pivot!$B$2:$EU$2,_xlfn.XLOOKUP($A33,Pivot!$A$11:$A$35,Pivot!$B$11:$EU$35),0,0),0)</x:f>
        <x:v>427</x:v>
      </x:c>
      <x:c r="G33" s="1180" t="str" cm="1">
        <x:f t="array" ref="G33">IFERROR(_xlfn.XLOOKUP(G$27,Pivot!$B$2:$EU$2,_xlfn.XLOOKUP($A33,Pivot!$A$11:$A$35,Pivot!$B$11:$EU$35),0,0),0)</x:f>
      </x:c>
      <x:c r="H33" s="1180" t="n" cm="1">
        <x:f t="array" ref="H33">IFERROR(_xlfn.XLOOKUP(H$27,Pivot!$B$2:$EU$2,_xlfn.XLOOKUP($A33,Pivot!$A$11:$A$35,Pivot!$B$11:$EU$35),0,0),0)</x:f>
        <x:v>88</x:v>
      </x:c>
      <x:c r="I33" s="1180" t="str" cm="1">
        <x:f t="array" ref="I33">IFERROR(_xlfn.XLOOKUP(I$27,Pivot!$B$2:$EU$2,_xlfn.XLOOKUP($A33,Pivot!$A$11:$A$35,Pivot!$B$11:$EU$35),0,0),0)</x:f>
      </x:c>
      <x:c r="J33" s="1180" t="n" cm="1">
        <x:f t="array" ref="J33">IFERROR(_xlfn.XLOOKUP(J$27,Pivot!$B$2:$EU$2,_xlfn.XLOOKUP($A33,Pivot!$A$11:$A$35,Pivot!$B$11:$EU$35),0,0),0)</x:f>
        <x:v>20</x:v>
      </x:c>
      <x:c r="K33" s="1180" t="n" cm="1">
        <x:f t="array" ref="K33">IFERROR(_xlfn.XLOOKUP(K$27,Pivot!$B$2:$EU$2,_xlfn.XLOOKUP($A33,Pivot!$A$11:$A$35,Pivot!$B$11:$EU$35),0,0),0)</x:f>
        <x:v>70</x:v>
      </x:c>
      <x:c r="L33" s="1180" t="n" cm="1">
        <x:f t="array" ref="L33">IFERROR(_xlfn.XLOOKUP(L$27,Pivot!$B$2:$EU$2,_xlfn.XLOOKUP($A33,Pivot!$A$11:$A$35,Pivot!$B$11:$EU$35),0,0),0)</x:f>
        <x:v>318</x:v>
      </x:c>
      <x:c r="M33" s="1180" t="str" cm="1">
        <x:f t="array" ref="M33">IFERROR(_xlfn.XLOOKUP(M$27,Pivot!$B$2:$EU$2,_xlfn.XLOOKUP($A33,Pivot!$A$11:$A$35,Pivot!$B$11:$EU$35),0,0),0)</x:f>
      </x:c>
      <x:c r="N33" s="1180" t="n" cm="1">
        <x:f t="array" ref="N33">IFERROR(_xlfn.XLOOKUP(N$27,Pivot!$B$2:$EU$2,_xlfn.XLOOKUP($A33,Pivot!$A$11:$A$35,Pivot!$B$11:$EU$35),0,0),0)</x:f>
        <x:v>4</x:v>
      </x:c>
      <x:c r="O33" s="1180" t="str" cm="1">
        <x:f t="array" ref="O33">IFERROR(_xlfn.XLOOKUP(O$27,Pivot!$B$2:$EU$2,_xlfn.XLOOKUP($A33,Pivot!$A$11:$A$35,Pivot!$B$11:$EU$35),0,0),0)</x:f>
      </x:c>
      <x:c r="P33" s="1180" t="n" cm="1">
        <x:f t="array" ref="P33">IFERROR(_xlfn.XLOOKUP(P$27,Pivot!$B$2:$EU$2,_xlfn.XLOOKUP($A33,Pivot!$A$11:$A$35,Pivot!$B$11:$EU$35),0,0),0)</x:f>
        <x:v>10</x:v>
      </x:c>
      <x:c r="Q33" s="1180" t="n" cm="1">
        <x:f t="array" ref="Q33">IFERROR(_xlfn.XLOOKUP(Q$27,Pivot!$B$2:$EU$2,_xlfn.XLOOKUP($A33,Pivot!$A$11:$A$35,Pivot!$B$11:$EU$35),0,0),0)</x:f>
        <x:v>0</x:v>
      </x:c>
      <x:c r="R33" s="1180" t="n" cm="1">
        <x:f t="array" ref="R33">IFERROR(_xlfn.XLOOKUP(R$27,Pivot!$B$2:$EU$2,_xlfn.XLOOKUP($A33,Pivot!$A$11:$A$35,Pivot!$B$11:$EU$35),0,0),0)</x:f>
        <x:v>0</x:v>
      </x:c>
      <x:c r="S33" s="1180" t="str" cm="1">
        <x:f t="array" ref="S33">IFERROR(_xlfn.XLOOKUP(S$27,Pivot!$B$2:$EU$2,_xlfn.XLOOKUP($A33,Pivot!$A$11:$A$35,Pivot!$B$11:$EU$35),0,0),0)</x:f>
      </x:c>
      <x:c r="T33" s="1180" t="str" cm="1">
        <x:f t="array" ref="T33">IFERROR(_xlfn.XLOOKUP(T$27,Pivot!$B$2:$EU$2,_xlfn.XLOOKUP($A33,Pivot!$A$11:$A$35,Pivot!$B$11:$EU$35),0,0),0)</x:f>
      </x:c>
      <x:c r="U33" s="1180" t="n" cm="1">
        <x:f t="array" ref="U33">IFERROR(_xlfn.XLOOKUP(U$27,Pivot!$B$2:$EU$2,_xlfn.XLOOKUP($A33,Pivot!$A$11:$A$35,Pivot!$B$11:$EU$35),0,0),0)</x:f>
        <x:v>150</x:v>
      </x:c>
      <x:c r="V33" s="1180" t="n" cm="1">
        <x:f t="array" ref="V33">IFERROR(_xlfn.XLOOKUP(V$27,Pivot!$B$2:$EU$2,_xlfn.XLOOKUP($A33,Pivot!$A$11:$A$35,Pivot!$B$11:$EU$35),0,0),0)</x:f>
        <x:v>20</x:v>
      </x:c>
      <x:c r="W33" s="469" t="str" cm="1">
        <x:f t="array" ref="W33">IFERROR(_xlfn.XLOOKUP(W$27,Pivot!$B$2:$EU$2,_xlfn.XLOOKUP($A33,Pivot!$A$11:$A$35,Pivot!$B$11:$EU$35),0,0),0)</x:f>
      </x:c>
      <x:c r="X33" s="903" t="str" cm="1">
        <x:f t="array" ref="X33">IFERROR(_xlfn.XLOOKUP(X$27,Pivot!$B$2:$EU$2,_xlfn.XLOOKUP($A33,Pivot!$A$11:$A$35,Pivot!$B$11:$EU$35),0,0),0)</x:f>
      </x:c>
      <x:c r="Y33" s="472" t="n" cm="1">
        <x:f t="array" ref="Y33">IFERROR(_xlfn.XLOOKUP(Y$27,Pivot!$B$2:$EU$2,_xlfn.XLOOKUP($A33,Pivot!$A$11:$A$35,Pivot!$B$11:$EU$35),0,0),0)</x:f>
        <x:v>0</x:v>
      </x:c>
      <x:c r="Z33" s="472" t="str" cm="1">
        <x:f t="array" ref="Z33">IFERROR(_xlfn.XLOOKUP(Z$27,Pivot!$B$2:$EU$2,_xlfn.XLOOKUP($A33,Pivot!$A$11:$A$35,Pivot!$B$11:$EU$35),0,0),0)</x:f>
      </x:c>
      <x:c r="AA33" s="472" t="n" cm="1">
        <x:f t="array" ref="AA33">IFERROR(_xlfn.XLOOKUP(AA$27,Pivot!$B$2:$EU$2,_xlfn.XLOOKUP($A33,Pivot!$A$11:$A$35,Pivot!$B$11:$EU$35),0,0),0)</x:f>
        <x:v>0</x:v>
      </x:c>
      <x:c r="AB33" s="472" t="str" cm="1">
        <x:f t="array" ref="AB33">IFERROR(_xlfn.XLOOKUP(AB$27,Pivot!$B$2:$EU$2,_xlfn.XLOOKUP($A33,Pivot!$A$11:$A$35,Pivot!$B$11:$EU$35),0,0),0)</x:f>
      </x:c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  <x:c r="AM33" s="415"/>
      <x:c r="AN33" s="415"/>
      <x:c r="AO33" s="415"/>
      <x:c r="AP33" s="415"/>
      <x:c r="AQ33" s="415"/>
      <x:c r="AR33" s="415"/>
      <x:c r="AS33" s="415"/>
    </x:row>
    <x:row r="34" ht="22" customHeight="1">
      <x:c r="A34" s="1112" t="s">
        <x:v>175</x:v>
      </x:c>
      <x:c r="B34" s="1113" t="s">
        <x:v>51</x:v>
      </x:c>
      <x:c r="C34" s="1114" t="str" cm="1">
        <x:f t="array" ref="C34">IFERROR(_xlfn.XLOOKUP(C$27,Pivot!$B$2:$EU$2,_xlfn.XLOOKUP($A34,Pivot!$A$11:$A$35,Pivot!$B$11:$EU$35),0,0),0)</x:f>
      </x:c>
      <x:c r="D34" s="1114" t="n" cm="1">
        <x:f t="array" ref="D34">IFERROR(_xlfn.XLOOKUP(D$27,Pivot!$B$2:$EU$2,_xlfn.XLOOKUP($A34,Pivot!$A$11:$A$35,Pivot!$B$11:$EU$35),0,0),0)</x:f>
        <x:v>48</x:v>
      </x:c>
      <x:c r="E34" s="1114" t="str" cm="1">
        <x:f t="array" ref="E34">IFERROR(_xlfn.XLOOKUP(E$27,Pivot!$B$2:$EU$2,_xlfn.XLOOKUP($A34,Pivot!$A$11:$A$35,Pivot!$B$11:$EU$35),0,0),0)</x:f>
      </x:c>
      <x:c r="F34" s="1114" t="n" cm="1">
        <x:f t="array" ref="F34">IFERROR(_xlfn.XLOOKUP(F$27,Pivot!$B$2:$EU$2,_xlfn.XLOOKUP($A34,Pivot!$A$11:$A$35,Pivot!$B$11:$EU$35),0,0),0)</x:f>
        <x:v>6</x:v>
      </x:c>
      <x:c r="G34" s="1114" t="n" cm="1">
        <x:f t="array" ref="G34">IFERROR(_xlfn.XLOOKUP(G$27,Pivot!$B$2:$EU$2,_xlfn.XLOOKUP($A34,Pivot!$A$11:$A$35,Pivot!$B$11:$EU$35),0,0),0)</x:f>
        <x:v>7</x:v>
      </x:c>
      <x:c r="H34" s="1114" t="n" cm="1">
        <x:f t="array" ref="H34">IFERROR(_xlfn.XLOOKUP(H$27,Pivot!$B$2:$EU$2,_xlfn.XLOOKUP($A34,Pivot!$A$11:$A$35,Pivot!$B$11:$EU$35),0,0),0)</x:f>
        <x:v>153</x:v>
      </x:c>
      <x:c r="I34" s="1114" t="n" cm="1">
        <x:f t="array" ref="I34">IFERROR(_xlfn.XLOOKUP(I$27,Pivot!$B$2:$EU$2,_xlfn.XLOOKUP($A34,Pivot!$A$11:$A$35,Pivot!$B$11:$EU$35),0,0),0)</x:f>
        <x:v>3</x:v>
      </x:c>
      <x:c r="J34" s="1114" t="n" cm="1">
        <x:f t="array" ref="J34">IFERROR(_xlfn.XLOOKUP(J$27,Pivot!$B$2:$EU$2,_xlfn.XLOOKUP($A34,Pivot!$A$11:$A$35,Pivot!$B$11:$EU$35),0,0),0)</x:f>
        <x:v>15</x:v>
      </x:c>
      <x:c r="K34" s="1114" t="str" cm="1">
        <x:f t="array" ref="K34">IFERROR(_xlfn.XLOOKUP(K$27,Pivot!$B$2:$EU$2,_xlfn.XLOOKUP($A34,Pivot!$A$11:$A$35,Pivot!$B$11:$EU$35),0,0),0)</x:f>
      </x:c>
      <x:c r="L34" s="1114" t="n" cm="1">
        <x:f t="array" ref="L34">IFERROR(_xlfn.XLOOKUP(L$27,Pivot!$B$2:$EU$2,_xlfn.XLOOKUP($A34,Pivot!$A$11:$A$35,Pivot!$B$11:$EU$35),0,0),0)</x:f>
        <x:v>0</x:v>
      </x:c>
      <x:c r="M34" s="1114" t="str" cm="1">
        <x:f t="array" ref="M34">IFERROR(_xlfn.XLOOKUP(M$27,Pivot!$B$2:$EU$2,_xlfn.XLOOKUP($A34,Pivot!$A$11:$A$35,Pivot!$B$11:$EU$35),0,0),0)</x:f>
      </x:c>
      <x:c r="N34" s="1114" t="n" cm="1">
        <x:f t="array" ref="N34">IFERROR(_xlfn.XLOOKUP(N$27,Pivot!$B$2:$EU$2,_xlfn.XLOOKUP($A34,Pivot!$A$11:$A$35,Pivot!$B$11:$EU$35),0,0),0)</x:f>
        <x:v>8</x:v>
      </x:c>
      <x:c r="O34" s="1114" t="str" cm="1">
        <x:f t="array" ref="O34">IFERROR(_xlfn.XLOOKUP(O$27,Pivot!$B$2:$EU$2,_xlfn.XLOOKUP($A34,Pivot!$A$11:$A$35,Pivot!$B$11:$EU$35),0,0),0)</x:f>
      </x:c>
      <x:c r="P34" s="1114" t="str" cm="1">
        <x:f t="array" ref="P34">IFERROR(_xlfn.XLOOKUP(P$27,Pivot!$B$2:$EU$2,_xlfn.XLOOKUP($A34,Pivot!$A$11:$A$35,Pivot!$B$11:$EU$35),0,0),0)</x:f>
      </x:c>
      <x:c r="Q34" s="1114" t="n" cm="1">
        <x:f t="array" ref="Q34">IFERROR(_xlfn.XLOOKUP(Q$27,Pivot!$B$2:$EU$2,_xlfn.XLOOKUP($A34,Pivot!$A$11:$A$35,Pivot!$B$11:$EU$35),0,0),0)</x:f>
        <x:v>0</x:v>
      </x:c>
      <x:c r="R34" s="1114" t="n" cm="1">
        <x:f t="array" ref="R34">IFERROR(_xlfn.XLOOKUP(R$27,Pivot!$B$2:$EU$2,_xlfn.XLOOKUP($A34,Pivot!$A$11:$A$35,Pivot!$B$11:$EU$35),0,0),0)</x:f>
        <x:v>0</x:v>
      </x:c>
      <x:c r="S34" s="1114" t="str" cm="1">
        <x:f t="array" ref="S34">IFERROR(_xlfn.XLOOKUP(S$27,Pivot!$B$2:$EU$2,_xlfn.XLOOKUP($A34,Pivot!$A$11:$A$35,Pivot!$B$11:$EU$35),0,0),0)</x:f>
      </x:c>
      <x:c r="T34" s="1114" t="str" cm="1">
        <x:f t="array" ref="T34">IFERROR(_xlfn.XLOOKUP(T$27,Pivot!$B$2:$EU$2,_xlfn.XLOOKUP($A34,Pivot!$A$11:$A$35,Pivot!$B$11:$EU$35),0,0),0)</x:f>
      </x:c>
      <x:c r="U34" s="1114" t="str" cm="1">
        <x:f t="array" ref="U34">IFERROR(_xlfn.XLOOKUP(U$27,Pivot!$B$2:$EU$2,_xlfn.XLOOKUP($A34,Pivot!$A$11:$A$35,Pivot!$B$11:$EU$35),0,0),0)</x:f>
      </x:c>
      <x:c r="V34" s="1114" t="str" cm="1">
        <x:f t="array" ref="V34">IFERROR(_xlfn.XLOOKUP(V$27,Pivot!$B$2:$EU$2,_xlfn.XLOOKUP($A34,Pivot!$A$11:$A$35,Pivot!$B$11:$EU$35),0,0),0)</x:f>
      </x:c>
      <x:c r="W34" s="447" t="n" cm="1">
        <x:f t="array" ref="W34">IFERROR(_xlfn.XLOOKUP(W$27,Pivot!$B$2:$EU$2,_xlfn.XLOOKUP($A34,Pivot!$A$11:$A$35,Pivot!$B$11:$EU$35),0,0),0)</x:f>
        <x:v>20</x:v>
      </x:c>
      <x:c r="X34" s="812" t="str" cm="1">
        <x:f t="array" ref="X34">IFERROR(_xlfn.XLOOKUP(X$27,Pivot!$B$2:$EU$2,_xlfn.XLOOKUP($A34,Pivot!$A$11:$A$35,Pivot!$B$11:$EU$35),0,0),0)</x:f>
      </x:c>
      <x:c r="Y34" s="443" t="n" cm="1">
        <x:f t="array" ref="Y34">IFERROR(_xlfn.XLOOKUP(Y$27,Pivot!$B$2:$EU$2,_xlfn.XLOOKUP($A34,Pivot!$A$11:$A$35,Pivot!$B$11:$EU$35),0,0),0)</x:f>
        <x:v>0</x:v>
      </x:c>
      <x:c r="Z34" s="443" t="str" cm="1">
        <x:f t="array" ref="Z34">IFERROR(_xlfn.XLOOKUP(Z$27,Pivot!$B$2:$EU$2,_xlfn.XLOOKUP($A34,Pivot!$A$11:$A$35,Pivot!$B$11:$EU$35),0,0),0)</x:f>
      </x:c>
      <x:c r="AA34" s="443" t="n" cm="1">
        <x:f t="array" ref="AA34">IFERROR(_xlfn.XLOOKUP(AA$27,Pivot!$B$2:$EU$2,_xlfn.XLOOKUP($A34,Pivot!$A$11:$A$35,Pivot!$B$11:$EU$35),0,0),0)</x:f>
        <x:v>0</x:v>
      </x:c>
      <x:c r="AB34" s="443" t="str" cm="1">
        <x:f t="array" ref="AB34">IFERROR(_xlfn.XLOOKUP(AB$27,Pivot!$B$2:$EU$2,_xlfn.XLOOKUP($A34,Pivot!$A$11:$A$35,Pivot!$B$11:$EU$35),0,0),0)</x:f>
      </x:c>
      <x:c r="AC34" s="383"/>
      <x:c r="AD34" s="383"/>
      <x:c r="AE34" s="383"/>
      <x:c r="AF34" s="383"/>
      <x:c r="AG34" s="383"/>
      <x:c r="AH34" s="383"/>
      <x:c r="AI34" s="383"/>
      <x:c r="AJ34" s="383"/>
      <x:c r="AK34" s="383"/>
      <x:c r="AL34" s="383"/>
      <x:c r="AM34" s="383"/>
      <x:c r="AN34" s="383"/>
      <x:c r="AO34" s="383"/>
      <x:c r="AP34" s="383"/>
      <x:c r="AQ34" s="383"/>
      <x:c r="AR34" s="383"/>
      <x:c r="AS34" s="383"/>
    </x:row>
    <x:row r="35" ht="22" customHeight="1">
      <x:c r="A35" s="1178" t="s">
        <x:v>171</x:v>
      </x:c>
      <x:c r="B35" s="1179" t="s">
        <x:v>43</x:v>
      </x:c>
      <x:c r="C35" s="1180" t="n" cm="1">
        <x:f t="array" ref="C35">IFERROR(_xlfn.XLOOKUP(C$27,Pivot!$B$2:$EU$2,_xlfn.XLOOKUP($A35,Pivot!$A$11:$A$35,Pivot!$B$11:$EU$35),0,0),0)</x:f>
        <x:v>4</x:v>
      </x:c>
      <x:c r="D35" s="1180" t="n" cm="1">
        <x:f t="array" ref="D35">IFERROR(_xlfn.XLOOKUP(D$27,Pivot!$B$2:$EU$2,_xlfn.XLOOKUP($A35,Pivot!$A$11:$A$35,Pivot!$B$11:$EU$35),0,0),0)</x:f>
        <x:v>60</x:v>
      </x:c>
      <x:c r="E35" s="1180" t="n" cm="1">
        <x:f t="array" ref="E35">IFERROR(_xlfn.XLOOKUP(E$27,Pivot!$B$2:$EU$2,_xlfn.XLOOKUP($A35,Pivot!$A$11:$A$35,Pivot!$B$11:$EU$35),0,0),0)</x:f>
        <x:v>14</x:v>
      </x:c>
      <x:c r="F35" s="1180" t="n" cm="1">
        <x:f t="array" ref="F35">IFERROR(_xlfn.XLOOKUP(F$27,Pivot!$B$2:$EU$2,_xlfn.XLOOKUP($A35,Pivot!$A$11:$A$35,Pivot!$B$11:$EU$35),0,0),0)</x:f>
        <x:v>91</x:v>
      </x:c>
      <x:c r="G35" s="1180" t="n" cm="1">
        <x:f t="array" ref="G35">IFERROR(_xlfn.XLOOKUP(G$27,Pivot!$B$2:$EU$2,_xlfn.XLOOKUP($A35,Pivot!$A$11:$A$35,Pivot!$B$11:$EU$35),0,0),0)</x:f>
        <x:v>29</x:v>
      </x:c>
      <x:c r="H35" s="1180" t="n" cm="1">
        <x:f t="array" ref="H35">IFERROR(_xlfn.XLOOKUP(H$27,Pivot!$B$2:$EU$2,_xlfn.XLOOKUP($A35,Pivot!$A$11:$A$35,Pivot!$B$11:$EU$35),0,0),0)</x:f>
        <x:v>87</x:v>
      </x:c>
      <x:c r="I35" s="1180" t="n" cm="1">
        <x:f t="array" ref="I35">IFERROR(_xlfn.XLOOKUP(I$27,Pivot!$B$2:$EU$2,_xlfn.XLOOKUP($A35,Pivot!$A$11:$A$35,Pivot!$B$11:$EU$35),0,0),0)</x:f>
        <x:v>17</x:v>
      </x:c>
      <x:c r="J35" s="1180" t="n" cm="1">
        <x:f t="array" ref="J35">IFERROR(_xlfn.XLOOKUP(J$27,Pivot!$B$2:$EU$2,_xlfn.XLOOKUP($A35,Pivot!$A$11:$A$35,Pivot!$B$11:$EU$35),0,0),0)</x:f>
        <x:v>57</x:v>
      </x:c>
      <x:c r="K35" s="1180" t="n" cm="1">
        <x:f t="array" ref="K35">IFERROR(_xlfn.XLOOKUP(K$27,Pivot!$B$2:$EU$2,_xlfn.XLOOKUP($A35,Pivot!$A$11:$A$35,Pivot!$B$11:$EU$35),0,0),0)</x:f>
        <x:v>161</x:v>
      </x:c>
      <x:c r="L35" s="1180" t="n" cm="1">
        <x:f t="array" ref="L35">IFERROR(_xlfn.XLOOKUP(L$27,Pivot!$B$2:$EU$2,_xlfn.XLOOKUP($A35,Pivot!$A$11:$A$35,Pivot!$B$11:$EU$35),0,0),0)</x:f>
        <x:v>237</x:v>
      </x:c>
      <x:c r="M35" s="1180" t="n" cm="1">
        <x:f t="array" ref="M35">IFERROR(_xlfn.XLOOKUP(M$27,Pivot!$B$2:$EU$2,_xlfn.XLOOKUP($A35,Pivot!$A$11:$A$35,Pivot!$B$11:$EU$35),0,0),0)</x:f>
        <x:v>2</x:v>
      </x:c>
      <x:c r="N35" s="1180" t="n" cm="1">
        <x:f t="array" ref="N35">IFERROR(_xlfn.XLOOKUP(N$27,Pivot!$B$2:$EU$2,_xlfn.XLOOKUP($A35,Pivot!$A$11:$A$35,Pivot!$B$11:$EU$35),0,0),0)</x:f>
        <x:v>5</x:v>
      </x:c>
      <x:c r="O35" s="1180" t="str" cm="1">
        <x:f t="array" ref="O35">IFERROR(_xlfn.XLOOKUP(O$27,Pivot!$B$2:$EU$2,_xlfn.XLOOKUP($A35,Pivot!$A$11:$A$35,Pivot!$B$11:$EU$35),0,0),0)</x:f>
      </x:c>
      <x:c r="P35" s="1180" t="str" cm="1">
        <x:f t="array" ref="P35">IFERROR(_xlfn.XLOOKUP(P$27,Pivot!$B$2:$EU$2,_xlfn.XLOOKUP($A35,Pivot!$A$11:$A$35,Pivot!$B$11:$EU$35),0,0),0)</x:f>
      </x:c>
      <x:c r="Q35" s="1180" t="n" cm="1">
        <x:f t="array" ref="Q35">IFERROR(_xlfn.XLOOKUP(Q$27,Pivot!$B$2:$EU$2,_xlfn.XLOOKUP($A35,Pivot!$A$11:$A$35,Pivot!$B$11:$EU$35),0,0),0)</x:f>
        <x:v>0</x:v>
      </x:c>
      <x:c r="R35" s="1180" t="n" cm="1">
        <x:f t="array" ref="R35">IFERROR(_xlfn.XLOOKUP(R$27,Pivot!$B$2:$EU$2,_xlfn.XLOOKUP($A35,Pivot!$A$11:$A$35,Pivot!$B$11:$EU$35),0,0),0)</x:f>
        <x:v>0</x:v>
      </x:c>
      <x:c r="S35" s="1180" t="str" cm="1">
        <x:f t="array" ref="S35">IFERROR(_xlfn.XLOOKUP(S$27,Pivot!$B$2:$EU$2,_xlfn.XLOOKUP($A35,Pivot!$A$11:$A$35,Pivot!$B$11:$EU$35),0,0),0)</x:f>
      </x:c>
      <x:c r="T35" s="1180" t="str" cm="1">
        <x:f t="array" ref="T35">IFERROR(_xlfn.XLOOKUP(T$27,Pivot!$B$2:$EU$2,_xlfn.XLOOKUP($A35,Pivot!$A$11:$A$35,Pivot!$B$11:$EU$35),0,0),0)</x:f>
      </x:c>
      <x:c r="U35" s="1180" t="str" cm="1">
        <x:f t="array" ref="U35">IFERROR(_xlfn.XLOOKUP(U$27,Pivot!$B$2:$EU$2,_xlfn.XLOOKUP($A35,Pivot!$A$11:$A$35,Pivot!$B$11:$EU$35),0,0),0)</x:f>
      </x:c>
      <x:c r="V35" s="1180" t="str" cm="1">
        <x:f t="array" ref="V35">IFERROR(_xlfn.XLOOKUP(V$27,Pivot!$B$2:$EU$2,_xlfn.XLOOKUP($A35,Pivot!$A$11:$A$35,Pivot!$B$11:$EU$35),0,0),0)</x:f>
      </x:c>
      <x:c r="W35" s="469" t="str" cm="1">
        <x:f t="array" ref="W35">IFERROR(_xlfn.XLOOKUP(W$27,Pivot!$B$2:$EU$2,_xlfn.XLOOKUP($A35,Pivot!$A$11:$A$35,Pivot!$B$11:$EU$35),0,0),0)</x:f>
      </x:c>
      <x:c r="X35" s="903" t="str" cm="1">
        <x:f t="array" ref="X35">IFERROR(_xlfn.XLOOKUP(X$27,Pivot!$B$2:$EU$2,_xlfn.XLOOKUP($A35,Pivot!$A$11:$A$35,Pivot!$B$11:$EU$35),0,0),0)</x:f>
      </x:c>
      <x:c r="Y35" s="472" t="n" cm="1">
        <x:f t="array" ref="Y35">IFERROR(_xlfn.XLOOKUP(Y$27,Pivot!$B$2:$EU$2,_xlfn.XLOOKUP($A35,Pivot!$A$11:$A$35,Pivot!$B$11:$EU$35),0,0),0)</x:f>
        <x:v>0</x:v>
      </x:c>
      <x:c r="Z35" s="472" t="str" cm="1">
        <x:f t="array" ref="Z35">IFERROR(_xlfn.XLOOKUP(Z$27,Pivot!$B$2:$EU$2,_xlfn.XLOOKUP($A35,Pivot!$A$11:$A$35,Pivot!$B$11:$EU$35),0,0),0)</x:f>
      </x:c>
      <x:c r="AA35" s="472" t="n" cm="1">
        <x:f t="array" ref="AA35">IFERROR(_xlfn.XLOOKUP(AA$27,Pivot!$B$2:$EU$2,_xlfn.XLOOKUP($A35,Pivot!$A$11:$A$35,Pivot!$B$11:$EU$35),0,0),0)</x:f>
        <x:v>0</x:v>
      </x:c>
      <x:c r="AB35" s="472" t="str" cm="1">
        <x:f t="array" ref="AB35">IFERROR(_xlfn.XLOOKUP(AB$27,Pivot!$B$2:$EU$2,_xlfn.XLOOKUP($A35,Pivot!$A$11:$A$35,Pivot!$B$11:$EU$35),0,0),0)</x:f>
      </x:c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  <x:c r="AM35" s="415"/>
      <x:c r="AN35" s="415"/>
      <x:c r="AO35" s="415"/>
      <x:c r="AP35" s="415"/>
      <x:c r="AQ35" s="415"/>
      <x:c r="AR35" s="415"/>
      <x:c r="AS35" s="415"/>
    </x:row>
    <x:row r="36" ht="22" customHeight="1">
      <x:c r="A36" s="1112" t="s">
        <x:v>167</x:v>
      </x:c>
      <x:c r="B36" s="1113" t="s">
        <x:v>35</x:v>
      </x:c>
      <x:c r="C36" s="1114" t="n" cm="1">
        <x:f t="array" ref="C36">IFERROR(_xlfn.XLOOKUP(C$27,Pivot!$B$2:$EU$2,_xlfn.XLOOKUP($A36,Pivot!$A$11:$A$35,Pivot!$B$11:$EU$35),0,0),0)</x:f>
        <x:v>12</x:v>
      </x:c>
      <x:c r="D36" s="1114" t="n" cm="1">
        <x:f t="array" ref="D36">IFERROR(_xlfn.XLOOKUP(D$27,Pivot!$B$2:$EU$2,_xlfn.XLOOKUP($A36,Pivot!$A$11:$A$35,Pivot!$B$11:$EU$35),0,0),0)</x:f>
        <x:v>22</x:v>
      </x:c>
      <x:c r="E36" s="1114" t="str" cm="1">
        <x:f t="array" ref="E36">IFERROR(_xlfn.XLOOKUP(E$27,Pivot!$B$2:$EU$2,_xlfn.XLOOKUP($A36,Pivot!$A$11:$A$35,Pivot!$B$11:$EU$35),0,0),0)</x:f>
      </x:c>
      <x:c r="F36" s="1114" t="n" cm="1">
        <x:f t="array" ref="F36">IFERROR(_xlfn.XLOOKUP(F$27,Pivot!$B$2:$EU$2,_xlfn.XLOOKUP($A36,Pivot!$A$11:$A$35,Pivot!$B$11:$EU$35),0,0),0)</x:f>
        <x:v>19</x:v>
      </x:c>
      <x:c r="G36" s="1114" t="n" cm="1">
        <x:f t="array" ref="G36">IFERROR(_xlfn.XLOOKUP(G$27,Pivot!$B$2:$EU$2,_xlfn.XLOOKUP($A36,Pivot!$A$11:$A$35,Pivot!$B$11:$EU$35),0,0),0)</x:f>
        <x:v>2</x:v>
      </x:c>
      <x:c r="H36" s="1114" t="n" cm="1">
        <x:f t="array" ref="H36">IFERROR(_xlfn.XLOOKUP(H$27,Pivot!$B$2:$EU$2,_xlfn.XLOOKUP($A36,Pivot!$A$11:$A$35,Pivot!$B$11:$EU$35),0,0),0)</x:f>
        <x:v>26</x:v>
      </x:c>
      <x:c r="I36" s="1114" t="n" cm="1">
        <x:f t="array" ref="I36">IFERROR(_xlfn.XLOOKUP(I$27,Pivot!$B$2:$EU$2,_xlfn.XLOOKUP($A36,Pivot!$A$11:$A$35,Pivot!$B$11:$EU$35),0,0),0)</x:f>
        <x:v>6</x:v>
      </x:c>
      <x:c r="J36" s="1114" t="n" cm="1">
        <x:f t="array" ref="J36">IFERROR(_xlfn.XLOOKUP(J$27,Pivot!$B$2:$EU$2,_xlfn.XLOOKUP($A36,Pivot!$A$11:$A$35,Pivot!$B$11:$EU$35),0,0),0)</x:f>
        <x:v>22</x:v>
      </x:c>
      <x:c r="K36" s="1114" t="n" cm="1">
        <x:f t="array" ref="K36">IFERROR(_xlfn.XLOOKUP(K$27,Pivot!$B$2:$EU$2,_xlfn.XLOOKUP($A36,Pivot!$A$11:$A$35,Pivot!$B$11:$EU$35),0,0),0)</x:f>
        <x:v>64</x:v>
      </x:c>
      <x:c r="L36" s="1114" t="n" cm="1">
        <x:f t="array" ref="L36">IFERROR(_xlfn.XLOOKUP(L$27,Pivot!$B$2:$EU$2,_xlfn.XLOOKUP($A36,Pivot!$A$11:$A$35,Pivot!$B$11:$EU$35),0,0),0)</x:f>
        <x:v>138</x:v>
      </x:c>
      <x:c r="M36" s="1114" t="str" cm="1">
        <x:f t="array" ref="M36">IFERROR(_xlfn.XLOOKUP(M$27,Pivot!$B$2:$EU$2,_xlfn.XLOOKUP($A36,Pivot!$A$11:$A$35,Pivot!$B$11:$EU$35),0,0),0)</x:f>
      </x:c>
      <x:c r="N36" s="1114" t="str" cm="1">
        <x:f t="array" ref="N36">IFERROR(_xlfn.XLOOKUP(N$27,Pivot!$B$2:$EU$2,_xlfn.XLOOKUP($A36,Pivot!$A$11:$A$35,Pivot!$B$11:$EU$35),0,0),0)</x:f>
      </x:c>
      <x:c r="O36" s="1114" t="str" cm="1">
        <x:f t="array" ref="O36">IFERROR(_xlfn.XLOOKUP(O$27,Pivot!$B$2:$EU$2,_xlfn.XLOOKUP($A36,Pivot!$A$11:$A$35,Pivot!$B$11:$EU$35),0,0),0)</x:f>
      </x:c>
      <x:c r="P36" s="1114" t="str" cm="1">
        <x:f t="array" ref="P36">IFERROR(_xlfn.XLOOKUP(P$27,Pivot!$B$2:$EU$2,_xlfn.XLOOKUP($A36,Pivot!$A$11:$A$35,Pivot!$B$11:$EU$35),0,0),0)</x:f>
      </x:c>
      <x:c r="Q36" s="1114" t="n" cm="1">
        <x:f t="array" ref="Q36">IFERROR(_xlfn.XLOOKUP(Q$27,Pivot!$B$2:$EU$2,_xlfn.XLOOKUP($A36,Pivot!$A$11:$A$35,Pivot!$B$11:$EU$35),0,0),0)</x:f>
        <x:v>0</x:v>
      </x:c>
      <x:c r="R36" s="1114" t="n" cm="1">
        <x:f t="array" ref="R36">IFERROR(_xlfn.XLOOKUP(R$27,Pivot!$B$2:$EU$2,_xlfn.XLOOKUP($A36,Pivot!$A$11:$A$35,Pivot!$B$11:$EU$35),0,0),0)</x:f>
        <x:v>0</x:v>
      </x:c>
      <x:c r="S36" s="1114" t="str" cm="1">
        <x:f t="array" ref="S36">IFERROR(_xlfn.XLOOKUP(S$27,Pivot!$B$2:$EU$2,_xlfn.XLOOKUP($A36,Pivot!$A$11:$A$35,Pivot!$B$11:$EU$35),0,0),0)</x:f>
      </x:c>
      <x:c r="T36" s="1114" t="str" cm="1">
        <x:f t="array" ref="T36">IFERROR(_xlfn.XLOOKUP(T$27,Pivot!$B$2:$EU$2,_xlfn.XLOOKUP($A36,Pivot!$A$11:$A$35,Pivot!$B$11:$EU$35),0,0),0)</x:f>
      </x:c>
      <x:c r="U36" s="1114" t="str" cm="1">
        <x:f t="array" ref="U36">IFERROR(_xlfn.XLOOKUP(U$27,Pivot!$B$2:$EU$2,_xlfn.XLOOKUP($A36,Pivot!$A$11:$A$35,Pivot!$B$11:$EU$35),0,0),0)</x:f>
      </x:c>
      <x:c r="V36" s="1114" t="str" cm="1">
        <x:f t="array" ref="V36">IFERROR(_xlfn.XLOOKUP(V$27,Pivot!$B$2:$EU$2,_xlfn.XLOOKUP($A36,Pivot!$A$11:$A$35,Pivot!$B$11:$EU$35),0,0),0)</x:f>
      </x:c>
      <x:c r="W36" s="447" t="str" cm="1">
        <x:f t="array" ref="W36">IFERROR(_xlfn.XLOOKUP(W$27,Pivot!$B$2:$EU$2,_xlfn.XLOOKUP($A36,Pivot!$A$11:$A$35,Pivot!$B$11:$EU$35),0,0),0)</x:f>
      </x:c>
      <x:c r="X36" s="812" t="str" cm="1">
        <x:f t="array" ref="X36">IFERROR(_xlfn.XLOOKUP(X$27,Pivot!$B$2:$EU$2,_xlfn.XLOOKUP($A36,Pivot!$A$11:$A$35,Pivot!$B$11:$EU$35),0,0),0)</x:f>
      </x:c>
      <x:c r="Y36" s="443" t="n" cm="1">
        <x:f t="array" ref="Y36">IFERROR(_xlfn.XLOOKUP(Y$27,Pivot!$B$2:$EU$2,_xlfn.XLOOKUP($A36,Pivot!$A$11:$A$35,Pivot!$B$11:$EU$35),0,0),0)</x:f>
        <x:v>0</x:v>
      </x:c>
      <x:c r="Z36" s="443" t="str" cm="1">
        <x:f t="array" ref="Z36">IFERROR(_xlfn.XLOOKUP(Z$27,Pivot!$B$2:$EU$2,_xlfn.XLOOKUP($A36,Pivot!$A$11:$A$35,Pivot!$B$11:$EU$35),0,0),0)</x:f>
      </x:c>
      <x:c r="AA36" s="443" t="n" cm="1">
        <x:f t="array" ref="AA36">IFERROR(_xlfn.XLOOKUP(AA$27,Pivot!$B$2:$EU$2,_xlfn.XLOOKUP($A36,Pivot!$A$11:$A$35,Pivot!$B$11:$EU$35),0,0),0)</x:f>
        <x:v>0</x:v>
      </x:c>
      <x:c r="AB36" s="443" t="str" cm="1">
        <x:f t="array" ref="AB36">IFERROR(_xlfn.XLOOKUP(AB$27,Pivot!$B$2:$EU$2,_xlfn.XLOOKUP($A36,Pivot!$A$11:$A$35,Pivot!$B$11:$EU$35),0,0),0)</x:f>
      </x:c>
      <x:c r="AC36" s="383"/>
      <x:c r="AD36" s="383"/>
      <x:c r="AE36" s="383"/>
      <x:c r="AF36" s="383"/>
      <x:c r="AG36" s="383"/>
      <x:c r="AH36" s="383"/>
      <x:c r="AI36" s="383"/>
      <x:c r="AJ36" s="383"/>
      <x:c r="AK36" s="383"/>
      <x:c r="AL36" s="383"/>
      <x:c r="AM36" s="383"/>
      <x:c r="AN36" s="383"/>
      <x:c r="AO36" s="383"/>
      <x:c r="AP36" s="383"/>
      <x:c r="AQ36" s="383"/>
      <x:c r="AR36" s="383"/>
      <x:c r="AS36" s="383"/>
    </x:row>
    <x:row r="37" ht="22" customHeight="1">
      <x:c r="A37" s="1178" t="s">
        <x:v>162</x:v>
      </x:c>
      <x:c r="B37" s="1179" t="s">
        <x:v>196</x:v>
      </x:c>
      <x:c r="C37" s="1180" t="str" cm="1">
        <x:f t="array" ref="C37">IFERROR(_xlfn.XLOOKUP(C$27,Pivot!$B$2:$EU$2,_xlfn.XLOOKUP($A37,Pivot!$A$11:$A$35,Pivot!$B$11:$EU$35),0,0),0)</x:f>
      </x:c>
      <x:c r="D37" s="1180" t="n" cm="1">
        <x:f t="array" ref="D37">IFERROR(_xlfn.XLOOKUP(D$27,Pivot!$B$2:$EU$2,_xlfn.XLOOKUP($A37,Pivot!$A$11:$A$35,Pivot!$B$11:$EU$35),0,0),0)</x:f>
        <x:v>40</x:v>
      </x:c>
      <x:c r="E37" s="1180" t="str" cm="1">
        <x:f t="array" ref="E37">IFERROR(_xlfn.XLOOKUP(E$27,Pivot!$B$2:$EU$2,_xlfn.XLOOKUP($A37,Pivot!$A$11:$A$35,Pivot!$B$11:$EU$35),0,0),0)</x:f>
      </x:c>
      <x:c r="F37" s="1180" t="n" cm="1">
        <x:f t="array" ref="F37">IFERROR(_xlfn.XLOOKUP(F$27,Pivot!$B$2:$EU$2,_xlfn.XLOOKUP($A37,Pivot!$A$11:$A$35,Pivot!$B$11:$EU$35),0,0),0)</x:f>
        <x:v>263</x:v>
      </x:c>
      <x:c r="G37" s="1180" t="str" cm="1">
        <x:f t="array" ref="G37">IFERROR(_xlfn.XLOOKUP(G$27,Pivot!$B$2:$EU$2,_xlfn.XLOOKUP($A37,Pivot!$A$11:$A$35,Pivot!$B$11:$EU$35),0,0),0)</x:f>
      </x:c>
      <x:c r="H37" s="1180" t="n" cm="1">
        <x:f t="array" ref="H37">IFERROR(_xlfn.XLOOKUP(H$27,Pivot!$B$2:$EU$2,_xlfn.XLOOKUP($A37,Pivot!$A$11:$A$35,Pivot!$B$11:$EU$35),0,0),0)</x:f>
        <x:v>203</x:v>
      </x:c>
      <x:c r="I37" s="1180" t="str" cm="1">
        <x:f t="array" ref="I37">IFERROR(_xlfn.XLOOKUP(I$27,Pivot!$B$2:$EU$2,_xlfn.XLOOKUP($A37,Pivot!$A$11:$A$35,Pivot!$B$11:$EU$35),0,0),0)</x:f>
      </x:c>
      <x:c r="J37" s="1180" t="n" cm="1">
        <x:f t="array" ref="J37">IFERROR(_xlfn.XLOOKUP(J$27,Pivot!$B$2:$EU$2,_xlfn.XLOOKUP($A37,Pivot!$A$11:$A$35,Pivot!$B$11:$EU$35),0,0),0)</x:f>
        <x:v>64</x:v>
      </x:c>
      <x:c r="K37" s="1180" t="n" cm="1">
        <x:f t="array" ref="K37">IFERROR(_xlfn.XLOOKUP(K$27,Pivot!$B$2:$EU$2,_xlfn.XLOOKUP($A37,Pivot!$A$11:$A$35,Pivot!$B$11:$EU$35),0,0),0)</x:f>
        <x:v>14</x:v>
      </x:c>
      <x:c r="L37" s="1180" t="n" cm="1">
        <x:f t="array" ref="L37">IFERROR(_xlfn.XLOOKUP(L$27,Pivot!$B$2:$EU$2,_xlfn.XLOOKUP($A37,Pivot!$A$11:$A$35,Pivot!$B$11:$EU$35),0,0),0)</x:f>
        <x:v>138</x:v>
      </x:c>
      <x:c r="M37" s="1180" t="str" cm="1">
        <x:f t="array" ref="M37">IFERROR(_xlfn.XLOOKUP(M$27,Pivot!$B$2:$EU$2,_xlfn.XLOOKUP($A37,Pivot!$A$11:$A$35,Pivot!$B$11:$EU$35),0,0),0)</x:f>
      </x:c>
      <x:c r="N37" s="1180" t="n" cm="1">
        <x:f t="array" ref="N37">IFERROR(_xlfn.XLOOKUP(N$27,Pivot!$B$2:$EU$2,_xlfn.XLOOKUP($A37,Pivot!$A$11:$A$35,Pivot!$B$11:$EU$35),0,0),0)</x:f>
        <x:v>9</x:v>
      </x:c>
      <x:c r="O37" s="1180" t="str" cm="1">
        <x:f t="array" ref="O37">IFERROR(_xlfn.XLOOKUP(O$27,Pivot!$B$2:$EU$2,_xlfn.XLOOKUP($A37,Pivot!$A$11:$A$35,Pivot!$B$11:$EU$35),0,0),0)</x:f>
      </x:c>
      <x:c r="P37" s="1180" t="n" cm="1">
        <x:f t="array" ref="P37">IFERROR(_xlfn.XLOOKUP(P$27,Pivot!$B$2:$EU$2,_xlfn.XLOOKUP($A37,Pivot!$A$11:$A$35,Pivot!$B$11:$EU$35),0,0),0)</x:f>
        <x:v>5</x:v>
      </x:c>
      <x:c r="Q37" s="1180" t="n" cm="1">
        <x:f t="array" ref="Q37">IFERROR(_xlfn.XLOOKUP(Q$27,Pivot!$B$2:$EU$2,_xlfn.XLOOKUP($A37,Pivot!$A$11:$A$35,Pivot!$B$11:$EU$35),0,0),0)</x:f>
        <x:v>0</x:v>
      </x:c>
      <x:c r="R37" s="1180" t="n" cm="1">
        <x:f t="array" ref="R37">IFERROR(_xlfn.XLOOKUP(R$27,Pivot!$B$2:$EU$2,_xlfn.XLOOKUP($A37,Pivot!$A$11:$A$35,Pivot!$B$11:$EU$35),0,0),0)</x:f>
        <x:v>0</x:v>
      </x:c>
      <x:c r="S37" s="1180" t="str" cm="1">
        <x:f t="array" ref="S37">IFERROR(_xlfn.XLOOKUP(S$27,Pivot!$B$2:$EU$2,_xlfn.XLOOKUP($A37,Pivot!$A$11:$A$35,Pivot!$B$11:$EU$35),0,0),0)</x:f>
      </x:c>
      <x:c r="T37" s="1180" t="n" cm="1">
        <x:f t="array" ref="T37">IFERROR(_xlfn.XLOOKUP(T$27,Pivot!$B$2:$EU$2,_xlfn.XLOOKUP($A37,Pivot!$A$11:$A$35,Pivot!$B$11:$EU$35),0,0),0)</x:f>
        <x:v>40</x:v>
      </x:c>
      <x:c r="U37" s="1180" t="n" cm="1">
        <x:f t="array" ref="U37">IFERROR(_xlfn.XLOOKUP(U$27,Pivot!$B$2:$EU$2,_xlfn.XLOOKUP($A37,Pivot!$A$11:$A$35,Pivot!$B$11:$EU$35),0,0),0)</x:f>
        <x:v>50</x:v>
      </x:c>
      <x:c r="V37" s="1180" t="str" cm="1">
        <x:f t="array" ref="V37">IFERROR(_xlfn.XLOOKUP(V$27,Pivot!$B$2:$EU$2,_xlfn.XLOOKUP($A37,Pivot!$A$11:$A$35,Pivot!$B$11:$EU$35),0,0),0)</x:f>
      </x:c>
      <x:c r="W37" s="469" t="str" cm="1">
        <x:f t="array" ref="W37">IFERROR(_xlfn.XLOOKUP(W$27,Pivot!$B$2:$EU$2,_xlfn.XLOOKUP($A37,Pivot!$A$11:$A$35,Pivot!$B$11:$EU$35),0,0),0)</x:f>
      </x:c>
      <x:c r="X37" s="903" t="str" cm="1">
        <x:f t="array" ref="X37">IFERROR(_xlfn.XLOOKUP(X$27,Pivot!$B$2:$EU$2,_xlfn.XLOOKUP($A37,Pivot!$A$11:$A$35,Pivot!$B$11:$EU$35),0,0),0)</x:f>
      </x:c>
      <x:c r="Y37" s="472" t="n" cm="1">
        <x:f t="array" ref="Y37">IFERROR(_xlfn.XLOOKUP(Y$27,Pivot!$B$2:$EU$2,_xlfn.XLOOKUP($A37,Pivot!$A$11:$A$35,Pivot!$B$11:$EU$35),0,0),0)</x:f>
        <x:v>0</x:v>
      </x:c>
      <x:c r="Z37" s="472" t="str" cm="1">
        <x:f t="array" ref="Z37">IFERROR(_xlfn.XLOOKUP(Z$27,Pivot!$B$2:$EU$2,_xlfn.XLOOKUP($A37,Pivot!$A$11:$A$35,Pivot!$B$11:$EU$35),0,0),0)</x:f>
      </x:c>
      <x:c r="AA37" s="472" t="n" cm="1">
        <x:f t="array" ref="AA37">IFERROR(_xlfn.XLOOKUP(AA$27,Pivot!$B$2:$EU$2,_xlfn.XLOOKUP($A37,Pivot!$A$11:$A$35,Pivot!$B$11:$EU$35),0,0),0)</x:f>
        <x:v>0</x:v>
      </x:c>
      <x:c r="AB37" s="472" t="str" cm="1">
        <x:f t="array" ref="AB37">IFERROR(_xlfn.XLOOKUP(AB$27,Pivot!$B$2:$EU$2,_xlfn.XLOOKUP($A37,Pivot!$A$11:$A$35,Pivot!$B$11:$EU$35),0,0),0)</x:f>
      </x:c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  <x:c r="AM37" s="415"/>
      <x:c r="AN37" s="415"/>
      <x:c r="AO37" s="415"/>
      <x:c r="AP37" s="415"/>
      <x:c r="AQ37" s="415"/>
      <x:c r="AR37" s="415"/>
      <x:c r="AS37" s="415"/>
    </x:row>
    <x:row r="38" ht="22" customHeight="1">
      <x:c r="A38" s="1112" t="s">
        <x:v>161</x:v>
      </x:c>
      <x:c r="B38" s="1113" t="s">
        <x:v>25</x:v>
      </x:c>
      <x:c r="C38" s="1114" t="n" cm="1">
        <x:f t="array" ref="C38">IFERROR(_xlfn.XLOOKUP(C$27,Pivot!$B$2:$EU$2,_xlfn.XLOOKUP($A38,Pivot!$A$11:$A$35,Pivot!$B$11:$EU$35),0,0),0)</x:f>
        <x:v>18</x:v>
      </x:c>
      <x:c r="D38" s="1114" t="n" cm="1">
        <x:f t="array" ref="D38">IFERROR(_xlfn.XLOOKUP(D$27,Pivot!$B$2:$EU$2,_xlfn.XLOOKUP($A38,Pivot!$A$11:$A$35,Pivot!$B$11:$EU$35),0,0),0)</x:f>
        <x:v>118</x:v>
      </x:c>
      <x:c r="E38" s="1114" t="n" cm="1">
        <x:f t="array" ref="E38">IFERROR(_xlfn.XLOOKUP(E$27,Pivot!$B$2:$EU$2,_xlfn.XLOOKUP($A38,Pivot!$A$11:$A$35,Pivot!$B$11:$EU$35),0,0),0)</x:f>
        <x:v>12</x:v>
      </x:c>
      <x:c r="F38" s="1114" t="n" cm="1">
        <x:f t="array" ref="F38">IFERROR(_xlfn.XLOOKUP(F$27,Pivot!$B$2:$EU$2,_xlfn.XLOOKUP($A38,Pivot!$A$11:$A$35,Pivot!$B$11:$EU$35),0,0),0)</x:f>
        <x:v>90</x:v>
      </x:c>
      <x:c r="G38" s="1114" t="n" cm="1">
        <x:f t="array" ref="G38">IFERROR(_xlfn.XLOOKUP(G$27,Pivot!$B$2:$EU$2,_xlfn.XLOOKUP($A38,Pivot!$A$11:$A$35,Pivot!$B$11:$EU$35),0,0),0)</x:f>
        <x:v>48</x:v>
      </x:c>
      <x:c r="H38" s="1114" t="n" cm="1">
        <x:f t="array" ref="H38">IFERROR(_xlfn.XLOOKUP(H$27,Pivot!$B$2:$EU$2,_xlfn.XLOOKUP($A38,Pivot!$A$11:$A$35,Pivot!$B$11:$EU$35),0,0),0)</x:f>
        <x:v>265</x:v>
      </x:c>
      <x:c r="I38" s="1114" t="n" cm="1">
        <x:f t="array" ref="I38">IFERROR(_xlfn.XLOOKUP(I$27,Pivot!$B$2:$EU$2,_xlfn.XLOOKUP($A38,Pivot!$A$11:$A$35,Pivot!$B$11:$EU$35),0,0),0)</x:f>
        <x:v>40</x:v>
      </x:c>
      <x:c r="J38" s="1114" t="n" cm="1">
        <x:f t="array" ref="J38">IFERROR(_xlfn.XLOOKUP(J$27,Pivot!$B$2:$EU$2,_xlfn.XLOOKUP($A38,Pivot!$A$11:$A$35,Pivot!$B$11:$EU$35),0,0),0)</x:f>
        <x:v>131</x:v>
      </x:c>
      <x:c r="K38" s="1114" t="n" cm="1">
        <x:f t="array" ref="K38">IFERROR(_xlfn.XLOOKUP(K$27,Pivot!$B$2:$EU$2,_xlfn.XLOOKUP($A38,Pivot!$A$11:$A$35,Pivot!$B$11:$EU$35),0,0),0)</x:f>
        <x:v>63</x:v>
      </x:c>
      <x:c r="L38" s="1114" t="n" cm="1">
        <x:f t="array" ref="L38">IFERROR(_xlfn.XLOOKUP(L$27,Pivot!$B$2:$EU$2,_xlfn.XLOOKUP($A38,Pivot!$A$11:$A$35,Pivot!$B$11:$EU$35),0,0),0)</x:f>
        <x:v>212</x:v>
      </x:c>
      <x:c r="M38" s="1114" t="str" cm="1">
        <x:f t="array" ref="M38">IFERROR(_xlfn.XLOOKUP(M$27,Pivot!$B$2:$EU$2,_xlfn.XLOOKUP($A38,Pivot!$A$11:$A$35,Pivot!$B$11:$EU$35),0,0),0)</x:f>
      </x:c>
      <x:c r="N38" s="1114" t="n" cm="1">
        <x:f t="array" ref="N38">IFERROR(_xlfn.XLOOKUP(N$27,Pivot!$B$2:$EU$2,_xlfn.XLOOKUP($A38,Pivot!$A$11:$A$35,Pivot!$B$11:$EU$35),0,0),0)</x:f>
        <x:v>5</x:v>
      </x:c>
      <x:c r="O38" s="1114" t="str" cm="1">
        <x:f t="array" ref="O38">IFERROR(_xlfn.XLOOKUP(O$27,Pivot!$B$2:$EU$2,_xlfn.XLOOKUP($A38,Pivot!$A$11:$A$35,Pivot!$B$11:$EU$35),0,0),0)</x:f>
      </x:c>
      <x:c r="P38" s="1114" t="str" cm="1">
        <x:f t="array" ref="P38">IFERROR(_xlfn.XLOOKUP(P$27,Pivot!$B$2:$EU$2,_xlfn.XLOOKUP($A38,Pivot!$A$11:$A$35,Pivot!$B$11:$EU$35),0,0),0)</x:f>
      </x:c>
      <x:c r="Q38" s="1114" t="n" cm="1">
        <x:f t="array" ref="Q38">IFERROR(_xlfn.XLOOKUP(Q$27,Pivot!$B$2:$EU$2,_xlfn.XLOOKUP($A38,Pivot!$A$11:$A$35,Pivot!$B$11:$EU$35),0,0),0)</x:f>
        <x:v>0</x:v>
      </x:c>
      <x:c r="R38" s="1114" t="n" cm="1">
        <x:f t="array" ref="R38">IFERROR(_xlfn.XLOOKUP(R$27,Pivot!$B$2:$EU$2,_xlfn.XLOOKUP($A38,Pivot!$A$11:$A$35,Pivot!$B$11:$EU$35),0,0),0)</x:f>
        <x:v>0</x:v>
      </x:c>
      <x:c r="S38" s="1114" t="n" cm="1">
        <x:f t="array" ref="S38">IFERROR(_xlfn.XLOOKUP(S$27,Pivot!$B$2:$EU$2,_xlfn.XLOOKUP($A38,Pivot!$A$11:$A$35,Pivot!$B$11:$EU$35),0,0),0)</x:f>
        <x:v>5</x:v>
      </x:c>
      <x:c r="T38" s="1114" t="str" cm="1">
        <x:f t="array" ref="T38">IFERROR(_xlfn.XLOOKUP(T$27,Pivot!$B$2:$EU$2,_xlfn.XLOOKUP($A38,Pivot!$A$11:$A$35,Pivot!$B$11:$EU$35),0,0),0)</x:f>
      </x:c>
      <x:c r="U38" s="1114" t="n" cm="1">
        <x:f t="array" ref="U38">IFERROR(_xlfn.XLOOKUP(U$27,Pivot!$B$2:$EU$2,_xlfn.XLOOKUP($A38,Pivot!$A$11:$A$35,Pivot!$B$11:$EU$35),0,0),0)</x:f>
        <x:v>30</x:v>
      </x:c>
      <x:c r="V38" s="1114" t="str" cm="1">
        <x:f t="array" ref="V38">IFERROR(_xlfn.XLOOKUP(V$27,Pivot!$B$2:$EU$2,_xlfn.XLOOKUP($A38,Pivot!$A$11:$A$35,Pivot!$B$11:$EU$35),0,0),0)</x:f>
      </x:c>
      <x:c r="W38" s="447" t="str" cm="1">
        <x:f t="array" ref="W38">IFERROR(_xlfn.XLOOKUP(W$27,Pivot!$B$2:$EU$2,_xlfn.XLOOKUP($A38,Pivot!$A$11:$A$35,Pivot!$B$11:$EU$35),0,0),0)</x:f>
      </x:c>
      <x:c r="X38" s="812" t="str" cm="1">
        <x:f t="array" ref="X38">IFERROR(_xlfn.XLOOKUP(X$27,Pivot!$B$2:$EU$2,_xlfn.XLOOKUP($A38,Pivot!$A$11:$A$35,Pivot!$B$11:$EU$35),0,0),0)</x:f>
      </x:c>
      <x:c r="Y38" s="443" t="n" cm="1">
        <x:f t="array" ref="Y38">IFERROR(_xlfn.XLOOKUP(Y$27,Pivot!$B$2:$EU$2,_xlfn.XLOOKUP($A38,Pivot!$A$11:$A$35,Pivot!$B$11:$EU$35),0,0),0)</x:f>
        <x:v>0</x:v>
      </x:c>
      <x:c r="Z38" s="443" t="str" cm="1">
        <x:f t="array" ref="Z38">IFERROR(_xlfn.XLOOKUP(Z$27,Pivot!$B$2:$EU$2,_xlfn.XLOOKUP($A38,Pivot!$A$11:$A$35,Pivot!$B$11:$EU$35),0,0),0)</x:f>
      </x:c>
      <x:c r="AA38" s="443" t="n" cm="1">
        <x:f t="array" ref="AA38">IFERROR(_xlfn.XLOOKUP(AA$27,Pivot!$B$2:$EU$2,_xlfn.XLOOKUP($A38,Pivot!$A$11:$A$35,Pivot!$B$11:$EU$35),0,0),0)</x:f>
        <x:v>0</x:v>
      </x:c>
      <x:c r="AB38" s="443" t="str" cm="1">
        <x:f t="array" ref="AB38">IFERROR(_xlfn.XLOOKUP(AB$27,Pivot!$B$2:$EU$2,_xlfn.XLOOKUP($A38,Pivot!$A$11:$A$35,Pivot!$B$11:$EU$35),0,0),0)</x:f>
      </x:c>
      <x:c r="AC38" s="383"/>
      <x:c r="AD38" s="383"/>
      <x:c r="AE38" s="383"/>
      <x:c r="AF38" s="383"/>
      <x:c r="AG38" s="383"/>
      <x:c r="AH38" s="383"/>
      <x:c r="AI38" s="383"/>
      <x:c r="AJ38" s="383"/>
      <x:c r="AK38" s="383"/>
      <x:c r="AL38" s="383"/>
      <x:c r="AM38" s="383"/>
      <x:c r="AN38" s="383"/>
      <x:c r="AO38" s="383"/>
      <x:c r="AP38" s="383"/>
      <x:c r="AQ38" s="383"/>
      <x:c r="AR38" s="383"/>
      <x:c r="AS38" s="383"/>
    </x:row>
    <x:row r="39" ht="22" customHeight="1">
      <x:c r="A39" s="1178" t="s">
        <x:v>170</x:v>
      </x:c>
      <x:c r="B39" s="1179" t="s">
        <x:v>41</x:v>
      </x:c>
      <x:c r="C39" s="1180" t="n" cm="1">
        <x:f t="array" ref="C39">IFERROR(_xlfn.XLOOKUP(C$27,Pivot!$B$2:$EU$2,_xlfn.XLOOKUP($A39,Pivot!$A$11:$A$35,Pivot!$B$11:$EU$35),0,0),0)</x:f>
        <x:v>150</x:v>
      </x:c>
      <x:c r="D39" s="1180" t="n" cm="1">
        <x:f t="array" ref="D39">IFERROR(_xlfn.XLOOKUP(D$27,Pivot!$B$2:$EU$2,_xlfn.XLOOKUP($A39,Pivot!$A$11:$A$35,Pivot!$B$11:$EU$35),0,0),0)</x:f>
        <x:v>132</x:v>
      </x:c>
      <x:c r="E39" s="1180" t="n" cm="1">
        <x:f t="array" ref="E39">IFERROR(_xlfn.XLOOKUP(E$27,Pivot!$B$2:$EU$2,_xlfn.XLOOKUP($A39,Pivot!$A$11:$A$35,Pivot!$B$11:$EU$35),0,0),0)</x:f>
        <x:v>126</x:v>
      </x:c>
      <x:c r="F39" s="1180" t="n" cm="1">
        <x:f t="array" ref="F39">IFERROR(_xlfn.XLOOKUP(F$27,Pivot!$B$2:$EU$2,_xlfn.XLOOKUP($A39,Pivot!$A$11:$A$35,Pivot!$B$11:$EU$35),0,0),0)</x:f>
        <x:v>214</x:v>
      </x:c>
      <x:c r="G39" s="1180" t="n" cm="1">
        <x:f t="array" ref="G39">IFERROR(_xlfn.XLOOKUP(G$27,Pivot!$B$2:$EU$2,_xlfn.XLOOKUP($A39,Pivot!$A$11:$A$35,Pivot!$B$11:$EU$35),0,0),0)</x:f>
        <x:v>206</x:v>
      </x:c>
      <x:c r="H39" s="1180" t="n" cm="1">
        <x:f t="array" ref="H39">IFERROR(_xlfn.XLOOKUP(H$27,Pivot!$B$2:$EU$2,_xlfn.XLOOKUP($A39,Pivot!$A$11:$A$35,Pivot!$B$11:$EU$35),0,0),0)</x:f>
        <x:v>259</x:v>
      </x:c>
      <x:c r="I39" s="1180" t="n" cm="1">
        <x:f t="array" ref="I39">IFERROR(_xlfn.XLOOKUP(I$27,Pivot!$B$2:$EU$2,_xlfn.XLOOKUP($A39,Pivot!$A$11:$A$35,Pivot!$B$11:$EU$35),0,0),0)</x:f>
        <x:v>94</x:v>
      </x:c>
      <x:c r="J39" s="1180" t="n" cm="1">
        <x:f t="array" ref="J39">IFERROR(_xlfn.XLOOKUP(J$27,Pivot!$B$2:$EU$2,_xlfn.XLOOKUP($A39,Pivot!$A$11:$A$35,Pivot!$B$11:$EU$35),0,0),0)</x:f>
        <x:v>231</x:v>
      </x:c>
      <x:c r="K39" s="1180" t="n" cm="1">
        <x:f t="array" ref="K39">IFERROR(_xlfn.XLOOKUP(K$27,Pivot!$B$2:$EU$2,_xlfn.XLOOKUP($A39,Pivot!$A$11:$A$35,Pivot!$B$11:$EU$35),0,0),0)</x:f>
        <x:v>767</x:v>
      </x:c>
      <x:c r="L39" s="1180" t="n" cm="1">
        <x:f t="array" ref="L39">IFERROR(_xlfn.XLOOKUP(L$27,Pivot!$B$2:$EU$2,_xlfn.XLOOKUP($A39,Pivot!$A$11:$A$35,Pivot!$B$11:$EU$35),0,0),0)</x:f>
        <x:v>413</x:v>
      </x:c>
      <x:c r="M39" s="1180" t="n" cm="1">
        <x:f t="array" ref="M39">IFERROR(_xlfn.XLOOKUP(M$27,Pivot!$B$2:$EU$2,_xlfn.XLOOKUP($A39,Pivot!$A$11:$A$35,Pivot!$B$11:$EU$35),0,0),0)</x:f>
        <x:v>7</x:v>
      </x:c>
      <x:c r="N39" s="1180" t="n" cm="1">
        <x:f t="array" ref="N39">IFERROR(_xlfn.XLOOKUP(N$27,Pivot!$B$2:$EU$2,_xlfn.XLOOKUP($A39,Pivot!$A$11:$A$35,Pivot!$B$11:$EU$35),0,0),0)</x:f>
        <x:v>4</x:v>
      </x:c>
      <x:c r="O39" s="1180" t="str" cm="1">
        <x:f t="array" ref="O39">IFERROR(_xlfn.XLOOKUP(O$27,Pivot!$B$2:$EU$2,_xlfn.XLOOKUP($A39,Pivot!$A$11:$A$35,Pivot!$B$11:$EU$35),0,0),0)</x:f>
      </x:c>
      <x:c r="P39" s="1180" t="n" cm="1">
        <x:f t="array" ref="P39">IFERROR(_xlfn.XLOOKUP(P$27,Pivot!$B$2:$EU$2,_xlfn.XLOOKUP($A39,Pivot!$A$11:$A$35,Pivot!$B$11:$EU$35),0,0),0)</x:f>
        <x:v>10</x:v>
      </x:c>
      <x:c r="Q39" s="1180" t="n" cm="1">
        <x:f t="array" ref="Q39">IFERROR(_xlfn.XLOOKUP(Q$27,Pivot!$B$2:$EU$2,_xlfn.XLOOKUP($A39,Pivot!$A$11:$A$35,Pivot!$B$11:$EU$35),0,0),0)</x:f>
        <x:v>0</x:v>
      </x:c>
      <x:c r="R39" s="1180" t="n" cm="1">
        <x:f t="array" ref="R39">IFERROR(_xlfn.XLOOKUP(R$27,Pivot!$B$2:$EU$2,_xlfn.XLOOKUP($A39,Pivot!$A$11:$A$35,Pivot!$B$11:$EU$35),0,0),0)</x:f>
        <x:v>0</x:v>
      </x:c>
      <x:c r="S39" s="1180" t="n" cm="1">
        <x:f t="array" ref="S39">IFERROR(_xlfn.XLOOKUP(S$27,Pivot!$B$2:$EU$2,_xlfn.XLOOKUP($A39,Pivot!$A$11:$A$35,Pivot!$B$11:$EU$35),0,0),0)</x:f>
        <x:v>7</x:v>
      </x:c>
      <x:c r="T39" s="1180" t="str" cm="1">
        <x:f t="array" ref="T39">IFERROR(_xlfn.XLOOKUP(T$27,Pivot!$B$2:$EU$2,_xlfn.XLOOKUP($A39,Pivot!$A$11:$A$35,Pivot!$B$11:$EU$35),0,0),0)</x:f>
      </x:c>
      <x:c r="U39" s="1180" t="str" cm="1">
        <x:f t="array" ref="U39">IFERROR(_xlfn.XLOOKUP(U$27,Pivot!$B$2:$EU$2,_xlfn.XLOOKUP($A39,Pivot!$A$11:$A$35,Pivot!$B$11:$EU$35),0,0),0)</x:f>
      </x:c>
      <x:c r="V39" s="1180" t="str" cm="1">
        <x:f t="array" ref="V39">IFERROR(_xlfn.XLOOKUP(V$27,Pivot!$B$2:$EU$2,_xlfn.XLOOKUP($A39,Pivot!$A$11:$A$35,Pivot!$B$11:$EU$35),0,0),0)</x:f>
      </x:c>
      <x:c r="W39" s="469" t="n" cm="1">
        <x:f t="array" ref="W39">IFERROR(_xlfn.XLOOKUP(W$27,Pivot!$B$2:$EU$2,_xlfn.XLOOKUP($A39,Pivot!$A$11:$A$35,Pivot!$B$11:$EU$35),0,0),0)</x:f>
        <x:v>10</x:v>
      </x:c>
      <x:c r="X39" s="903" t="n" cm="1">
        <x:f t="array" ref="X39">IFERROR(_xlfn.XLOOKUP(X$27,Pivot!$B$2:$EU$2,_xlfn.XLOOKUP($A39,Pivot!$A$11:$A$35,Pivot!$B$11:$EU$35),0,0),0)</x:f>
        <x:v>10</x:v>
      </x:c>
      <x:c r="Y39" s="472" t="n" cm="1">
        <x:f t="array" ref="Y39">IFERROR(_xlfn.XLOOKUP(Y$27,Pivot!$B$2:$EU$2,_xlfn.XLOOKUP($A39,Pivot!$A$11:$A$35,Pivot!$B$11:$EU$35),0,0),0)</x:f>
        <x:v>0</x:v>
      </x:c>
      <x:c r="Z39" s="472" t="n" cm="1">
        <x:f t="array" ref="Z39">IFERROR(_xlfn.XLOOKUP(Z$27,Pivot!$B$2:$EU$2,_xlfn.XLOOKUP($A39,Pivot!$A$11:$A$35,Pivot!$B$11:$EU$35),0,0),0)</x:f>
        <x:v>2</x:v>
      </x:c>
      <x:c r="AA39" s="472" t="n" cm="1">
        <x:f t="array" ref="AA39">IFERROR(_xlfn.XLOOKUP(AA$27,Pivot!$B$2:$EU$2,_xlfn.XLOOKUP($A39,Pivot!$A$11:$A$35,Pivot!$B$11:$EU$35),0,0),0)</x:f>
        <x:v>0</x:v>
      </x:c>
      <x:c r="AB39" s="472" t="str" cm="1">
        <x:f t="array" ref="AB39">IFERROR(_xlfn.XLOOKUP(AB$27,Pivot!$B$2:$EU$2,_xlfn.XLOOKUP($A39,Pivot!$A$11:$A$35,Pivot!$B$11:$EU$35),0,0),0)</x:f>
      </x:c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  <x:c r="AM39" s="415"/>
      <x:c r="AN39" s="415"/>
      <x:c r="AO39" s="415"/>
      <x:c r="AP39" s="415"/>
      <x:c r="AQ39" s="415"/>
      <x:c r="AR39" s="415"/>
      <x:c r="AS39" s="415"/>
    </x:row>
    <x:row r="40" ht="22" customHeight="1">
      <x:c r="A40" s="1115" t="s">
        <x:v>163</x:v>
      </x:c>
      <x:c r="B40" s="1113" t="s">
        <x:v>199</x:v>
      </x:c>
      <x:c r="C40" s="1114" t="n" cm="1">
        <x:f t="array" ref="C40">IFERROR(_xlfn.XLOOKUP(C$27,Pivot!$B$2:$EU$2,_xlfn.XLOOKUP($A40,Pivot!$A$11:$A$35,Pivot!$B$11:$EU$35),0,0),0)</x:f>
        <x:v>40</x:v>
      </x:c>
      <x:c r="D40" s="1114" t="n" cm="1">
        <x:f t="array" ref="D40">IFERROR(_xlfn.XLOOKUP(D$27,Pivot!$B$2:$EU$2,_xlfn.XLOOKUP($A40,Pivot!$A$11:$A$35,Pivot!$B$11:$EU$35),0,0),0)</x:f>
        <x:v>30</x:v>
      </x:c>
      <x:c r="E40" s="1114" t="n" cm="1">
        <x:f t="array" ref="E40">IFERROR(_xlfn.XLOOKUP(E$27,Pivot!$B$2:$EU$2,_xlfn.XLOOKUP($A40,Pivot!$A$11:$A$35,Pivot!$B$11:$EU$35),0,0),0)</x:f>
        <x:v>42</x:v>
      </x:c>
      <x:c r="F40" s="1114" t="n" cm="1">
        <x:f t="array" ref="F40">IFERROR(_xlfn.XLOOKUP(F$27,Pivot!$B$2:$EU$2,_xlfn.XLOOKUP($A40,Pivot!$A$11:$A$35,Pivot!$B$11:$EU$35),0,0),0)</x:f>
        <x:v>34</x:v>
      </x:c>
      <x:c r="G40" s="1114" t="n" cm="1">
        <x:f t="array" ref="G40">IFERROR(_xlfn.XLOOKUP(G$27,Pivot!$B$2:$EU$2,_xlfn.XLOOKUP($A40,Pivot!$A$11:$A$35,Pivot!$B$11:$EU$35),0,0),0)</x:f>
        <x:v>43</x:v>
      </x:c>
      <x:c r="H40" s="1114" t="str" cm="1">
        <x:f t="array" ref="H40">IFERROR(_xlfn.XLOOKUP(H$27,Pivot!$B$2:$EU$2,_xlfn.XLOOKUP($A40,Pivot!$A$11:$A$35,Pivot!$B$11:$EU$35),0,0),0)</x:f>
      </x:c>
      <x:c r="I40" s="1114" t="n" cm="1">
        <x:f t="array" ref="I40">IFERROR(_xlfn.XLOOKUP(I$27,Pivot!$B$2:$EU$2,_xlfn.XLOOKUP($A40,Pivot!$A$11:$A$35,Pivot!$B$11:$EU$35),0,0),0)</x:f>
        <x:v>5</x:v>
      </x:c>
      <x:c r="J40" s="1114" t="str" cm="1">
        <x:f t="array" ref="J40">IFERROR(_xlfn.XLOOKUP(J$27,Pivot!$B$2:$EU$2,_xlfn.XLOOKUP($A40,Pivot!$A$11:$A$35,Pivot!$B$11:$EU$35),0,0),0)</x:f>
      </x:c>
      <x:c r="K40" s="1114" t="n" cm="1">
        <x:f t="array" ref="K40">IFERROR(_xlfn.XLOOKUP(K$27,Pivot!$B$2:$EU$2,_xlfn.XLOOKUP($A40,Pivot!$A$11:$A$35,Pivot!$B$11:$EU$35),0,0),0)</x:f>
        <x:v>60</x:v>
      </x:c>
      <x:c r="L40" s="1114" t="str" cm="1">
        <x:f t="array" ref="L40">IFERROR(_xlfn.XLOOKUP(L$27,Pivot!$B$2:$EU$2,_xlfn.XLOOKUP($A40,Pivot!$A$11:$A$35,Pivot!$B$11:$EU$35),0,0),0)</x:f>
      </x:c>
      <x:c r="M40" s="1114" t="n" cm="1">
        <x:f t="array" ref="M40">IFERROR(_xlfn.XLOOKUP(M$27,Pivot!$B$2:$EU$2,_xlfn.XLOOKUP($A40,Pivot!$A$11:$A$35,Pivot!$B$11:$EU$35),0,0),0)</x:f>
        <x:v>8</x:v>
      </x:c>
      <x:c r="N40" s="1114" t="str" cm="1">
        <x:f t="array" ref="N40">IFERROR(_xlfn.XLOOKUP(N$27,Pivot!$B$2:$EU$2,_xlfn.XLOOKUP($A40,Pivot!$A$11:$A$35,Pivot!$B$11:$EU$35),0,0),0)</x:f>
      </x:c>
      <x:c r="O40" s="1114" t="str" cm="1">
        <x:f t="array" ref="O40">IFERROR(_xlfn.XLOOKUP(O$27,Pivot!$B$2:$EU$2,_xlfn.XLOOKUP($A40,Pivot!$A$11:$A$35,Pivot!$B$11:$EU$35),0,0),0)</x:f>
      </x:c>
      <x:c r="P40" s="1114" t="str" cm="1">
        <x:f t="array" ref="P40">IFERROR(_xlfn.XLOOKUP(P$27,Pivot!$B$2:$EU$2,_xlfn.XLOOKUP($A40,Pivot!$A$11:$A$35,Pivot!$B$11:$EU$35),0,0),0)</x:f>
      </x:c>
      <x:c r="Q40" s="1114" t="n" cm="1">
        <x:f t="array" ref="Q40">IFERROR(_xlfn.XLOOKUP(Q$27,Pivot!$B$2:$EU$2,_xlfn.XLOOKUP($A40,Pivot!$A$11:$A$35,Pivot!$B$11:$EU$35),0,0),0)</x:f>
        <x:v>0</x:v>
      </x:c>
      <x:c r="R40" s="1114" t="n" cm="1">
        <x:f t="array" ref="R40">IFERROR(_xlfn.XLOOKUP(R$27,Pivot!$B$2:$EU$2,_xlfn.XLOOKUP($A40,Pivot!$A$11:$A$35,Pivot!$B$11:$EU$35),0,0),0)</x:f>
        <x:v>0</x:v>
      </x:c>
      <x:c r="S40" s="1114" t="str" cm="1">
        <x:f t="array" ref="S40">IFERROR(_xlfn.XLOOKUP(S$27,Pivot!$B$2:$EU$2,_xlfn.XLOOKUP($A40,Pivot!$A$11:$A$35,Pivot!$B$11:$EU$35),0,0),0)</x:f>
      </x:c>
      <x:c r="T40" s="1114" t="str" cm="1">
        <x:f t="array" ref="T40">IFERROR(_xlfn.XLOOKUP(T$27,Pivot!$B$2:$EU$2,_xlfn.XLOOKUP($A40,Pivot!$A$11:$A$35,Pivot!$B$11:$EU$35),0,0),0)</x:f>
      </x:c>
      <x:c r="U40" s="1114" t="str" cm="1">
        <x:f t="array" ref="U40">IFERROR(_xlfn.XLOOKUP(U$27,Pivot!$B$2:$EU$2,_xlfn.XLOOKUP($A40,Pivot!$A$11:$A$35,Pivot!$B$11:$EU$35),0,0),0)</x:f>
      </x:c>
      <x:c r="V40" s="1114" t="str" cm="1">
        <x:f t="array" ref="V40">IFERROR(_xlfn.XLOOKUP(V$27,Pivot!$B$2:$EU$2,_xlfn.XLOOKUP($A40,Pivot!$A$11:$A$35,Pivot!$B$11:$EU$35),0,0),0)</x:f>
      </x:c>
      <x:c r="W40" s="447" t="str" cm="1">
        <x:f t="array" ref="W40">IFERROR(_xlfn.XLOOKUP(W$27,Pivot!$B$2:$EU$2,_xlfn.XLOOKUP($A40,Pivot!$A$11:$A$35,Pivot!$B$11:$EU$35),0,0),0)</x:f>
      </x:c>
      <x:c r="X40" s="812" t="str" cm="1">
        <x:f t="array" ref="X40">IFERROR(_xlfn.XLOOKUP(X$27,Pivot!$B$2:$EU$2,_xlfn.XLOOKUP($A40,Pivot!$A$11:$A$35,Pivot!$B$11:$EU$35),0,0),0)</x:f>
      </x:c>
      <x:c r="Y40" s="443" t="n" cm="1">
        <x:f t="array" ref="Y40">IFERROR(_xlfn.XLOOKUP(Y$27,Pivot!$B$2:$EU$2,_xlfn.XLOOKUP($A40,Pivot!$A$11:$A$35,Pivot!$B$11:$EU$35),0,0),0)</x:f>
        <x:v>0</x:v>
      </x:c>
      <x:c r="Z40" s="443" t="str" cm="1">
        <x:f t="array" ref="Z40">IFERROR(_xlfn.XLOOKUP(Z$27,Pivot!$B$2:$EU$2,_xlfn.XLOOKUP($A40,Pivot!$A$11:$A$35,Pivot!$B$11:$EU$35),0,0),0)</x:f>
      </x:c>
      <x:c r="AA40" s="443" t="n" cm="1">
        <x:f t="array" ref="AA40">IFERROR(_xlfn.XLOOKUP(AA$27,Pivot!$B$2:$EU$2,_xlfn.XLOOKUP($A40,Pivot!$A$11:$A$35,Pivot!$B$11:$EU$35),0,0),0)</x:f>
        <x:v>0</x:v>
      </x:c>
      <x:c r="AB40" s="443" t="str" cm="1">
        <x:f t="array" ref="AB40">IFERROR(_xlfn.XLOOKUP(AB$27,Pivot!$B$2:$EU$2,_xlfn.XLOOKUP($A40,Pivot!$A$11:$A$35,Pivot!$B$11:$EU$35),0,0),0)</x:f>
      </x:c>
      <x:c r="AC40" s="383"/>
      <x:c r="AD40" s="383"/>
      <x:c r="AE40" s="383"/>
      <x:c r="AF40" s="383"/>
      <x:c r="AG40" s="383"/>
      <x:c r="AH40" s="383"/>
      <x:c r="AI40" s="383"/>
      <x:c r="AJ40" s="383"/>
      <x:c r="AK40" s="383"/>
      <x:c r="AL40" s="383"/>
      <x:c r="AM40" s="383"/>
      <x:c r="AN40" s="383"/>
      <x:c r="AO40" s="383"/>
      <x:c r="AP40" s="383"/>
      <x:c r="AQ40" s="383"/>
      <x:c r="AR40" s="383"/>
      <x:c r="AS40" s="383"/>
    </x:row>
    <x:row r="41" ht="22" customHeight="1">
      <x:c r="A41" s="1178" t="s">
        <x:v>158</x:v>
      </x:c>
      <x:c r="B41" s="1179" t="s">
        <x:v>19</x:v>
      </x:c>
      <x:c r="C41" s="1180" t="n" cm="1">
        <x:f t="array" ref="C41">IFERROR(_xlfn.XLOOKUP(C$27,Pivot!$B$2:$EU$2,_xlfn.XLOOKUP($A41,Pivot!$A$11:$A$35,Pivot!$B$11:$EU$35),0,0),0)</x:f>
        <x:v>106</x:v>
      </x:c>
      <x:c r="D41" s="1180" t="n" cm="1">
        <x:f t="array" ref="D41">IFERROR(_xlfn.XLOOKUP(D$27,Pivot!$B$2:$EU$2,_xlfn.XLOOKUP($A41,Pivot!$A$11:$A$35,Pivot!$B$11:$EU$35),0,0),0)</x:f>
        <x:v>698</x:v>
      </x:c>
      <x:c r="E41" s="1180" t="n" cm="1">
        <x:f t="array" ref="E41">IFERROR(_xlfn.XLOOKUP(E$27,Pivot!$B$2:$EU$2,_xlfn.XLOOKUP($A41,Pivot!$A$11:$A$35,Pivot!$B$11:$EU$35),0,0),0)</x:f>
        <x:v>28</x:v>
      </x:c>
      <x:c r="F41" s="1180" t="n" cm="1">
        <x:f t="array" ref="F41">IFERROR(_xlfn.XLOOKUP(F$27,Pivot!$B$2:$EU$2,_xlfn.XLOOKUP($A41,Pivot!$A$11:$A$35,Pivot!$B$11:$EU$35),0,0),0)</x:f>
        <x:v>178</x:v>
      </x:c>
      <x:c r="G41" s="1180" t="n" cm="1">
        <x:f t="array" ref="G41">IFERROR(_xlfn.XLOOKUP(G$27,Pivot!$B$2:$EU$2,_xlfn.XLOOKUP($A41,Pivot!$A$11:$A$35,Pivot!$B$11:$EU$35),0,0),0)</x:f>
        <x:v>12</x:v>
      </x:c>
      <x:c r="H41" s="1180" t="n" cm="1">
        <x:f t="array" ref="H41">IFERROR(_xlfn.XLOOKUP(H$27,Pivot!$B$2:$EU$2,_xlfn.XLOOKUP($A41,Pivot!$A$11:$A$35,Pivot!$B$11:$EU$35),0,0),0)</x:f>
        <x:v>167</x:v>
      </x:c>
      <x:c r="I41" s="1180" t="str" cm="1">
        <x:f t="array" ref="I41">IFERROR(_xlfn.XLOOKUP(I$27,Pivot!$B$2:$EU$2,_xlfn.XLOOKUP($A41,Pivot!$A$11:$A$35,Pivot!$B$11:$EU$35),0,0),0)</x:f>
      </x:c>
      <x:c r="J41" s="1180" t="n" cm="1">
        <x:f t="array" ref="J41">IFERROR(_xlfn.XLOOKUP(J$27,Pivot!$B$2:$EU$2,_xlfn.XLOOKUP($A41,Pivot!$A$11:$A$35,Pivot!$B$11:$EU$35),0,0),0)</x:f>
        <x:v>81</x:v>
      </x:c>
      <x:c r="K41" s="1180" t="n" cm="1">
        <x:f t="array" ref="K41">IFERROR(_xlfn.XLOOKUP(K$27,Pivot!$B$2:$EU$2,_xlfn.XLOOKUP($A41,Pivot!$A$11:$A$35,Pivot!$B$11:$EU$35),0,0),0)</x:f>
        <x:v>84</x:v>
      </x:c>
      <x:c r="L41" s="1180" t="n" cm="1">
        <x:f t="array" ref="L41">IFERROR(_xlfn.XLOOKUP(L$27,Pivot!$B$2:$EU$2,_xlfn.XLOOKUP($A41,Pivot!$A$11:$A$35,Pivot!$B$11:$EU$35),0,0),0)</x:f>
        <x:v>460</x:v>
      </x:c>
      <x:c r="M41" s="1180" t="n" cm="1">
        <x:f t="array" ref="M41">IFERROR(_xlfn.XLOOKUP(M$27,Pivot!$B$2:$EU$2,_xlfn.XLOOKUP($A41,Pivot!$A$11:$A$35,Pivot!$B$11:$EU$35),0,0),0)</x:f>
        <x:v>1</x:v>
      </x:c>
      <x:c r="N41" s="1180" t="n" cm="1">
        <x:f t="array" ref="N41">IFERROR(_xlfn.XLOOKUP(N$27,Pivot!$B$2:$EU$2,_xlfn.XLOOKUP($A41,Pivot!$A$11:$A$35,Pivot!$B$11:$EU$35),0,0),0)</x:f>
        <x:v>12</x:v>
      </x:c>
      <x:c r="O41" s="1180" t="str" cm="1">
        <x:f t="array" ref="O41">IFERROR(_xlfn.XLOOKUP(O$27,Pivot!$B$2:$EU$2,_xlfn.XLOOKUP($A41,Pivot!$A$11:$A$35,Pivot!$B$11:$EU$35),0,0),0)</x:f>
      </x:c>
      <x:c r="P41" s="1180" t="str" cm="1">
        <x:f t="array" ref="P41">IFERROR(_xlfn.XLOOKUP(P$27,Pivot!$B$2:$EU$2,_xlfn.XLOOKUP($A41,Pivot!$A$11:$A$35,Pivot!$B$11:$EU$35),0,0),0)</x:f>
      </x:c>
      <x:c r="Q41" s="1180" t="n" cm="1">
        <x:f t="array" ref="Q41">IFERROR(_xlfn.XLOOKUP(Q$27,Pivot!$B$2:$EU$2,_xlfn.XLOOKUP($A41,Pivot!$A$11:$A$35,Pivot!$B$11:$EU$35),0,0),0)</x:f>
        <x:v>0</x:v>
      </x:c>
      <x:c r="R41" s="1180" t="n" cm="1">
        <x:f t="array" ref="R41">IFERROR(_xlfn.XLOOKUP(R$27,Pivot!$B$2:$EU$2,_xlfn.XLOOKUP($A41,Pivot!$A$11:$A$35,Pivot!$B$11:$EU$35),0,0),0)</x:f>
        <x:v>0</x:v>
      </x:c>
      <x:c r="S41" s="1180" t="str" cm="1">
        <x:f t="array" ref="S41">IFERROR(_xlfn.XLOOKUP(S$27,Pivot!$B$2:$EU$2,_xlfn.XLOOKUP($A41,Pivot!$A$11:$A$35,Pivot!$B$11:$EU$35),0,0),0)</x:f>
      </x:c>
      <x:c r="T41" s="1180" t="n" cm="1">
        <x:f t="array" ref="T41">IFERROR(_xlfn.XLOOKUP(T$27,Pivot!$B$2:$EU$2,_xlfn.XLOOKUP($A41,Pivot!$A$11:$A$35,Pivot!$B$11:$EU$35),0,0),0)</x:f>
        <x:v>1</x:v>
      </x:c>
      <x:c r="U41" s="1180" t="str" cm="1">
        <x:f t="array" ref="U41">IFERROR(_xlfn.XLOOKUP(U$27,Pivot!$B$2:$EU$2,_xlfn.XLOOKUP($A41,Pivot!$A$11:$A$35,Pivot!$B$11:$EU$35),0,0),0)</x:f>
      </x:c>
      <x:c r="V41" s="1180" t="str" cm="1">
        <x:f t="array" ref="V41">IFERROR(_xlfn.XLOOKUP(V$27,Pivot!$B$2:$EU$2,_xlfn.XLOOKUP($A41,Pivot!$A$11:$A$35,Pivot!$B$11:$EU$35),0,0),0)</x:f>
      </x:c>
      <x:c r="W41" s="469" t="str" cm="1">
        <x:f t="array" ref="W41">IFERROR(_xlfn.XLOOKUP(W$27,Pivot!$B$2:$EU$2,_xlfn.XLOOKUP($A41,Pivot!$A$11:$A$35,Pivot!$B$11:$EU$35),0,0),0)</x:f>
      </x:c>
      <x:c r="X41" s="903" t="str" cm="1">
        <x:f t="array" ref="X41">IFERROR(_xlfn.XLOOKUP(X$27,Pivot!$B$2:$EU$2,_xlfn.XLOOKUP($A41,Pivot!$A$11:$A$35,Pivot!$B$11:$EU$35),0,0),0)</x:f>
      </x:c>
      <x:c r="Y41" s="472" t="n" cm="1">
        <x:f t="array" ref="Y41">IFERROR(_xlfn.XLOOKUP(Y$27,Pivot!$B$2:$EU$2,_xlfn.XLOOKUP($A41,Pivot!$A$11:$A$35,Pivot!$B$11:$EU$35),0,0),0)</x:f>
        <x:v>0</x:v>
      </x:c>
      <x:c r="Z41" s="472" t="str" cm="1">
        <x:f t="array" ref="Z41">IFERROR(_xlfn.XLOOKUP(Z$27,Pivot!$B$2:$EU$2,_xlfn.XLOOKUP($A41,Pivot!$A$11:$A$35,Pivot!$B$11:$EU$35),0,0),0)</x:f>
      </x:c>
      <x:c r="AA41" s="472" t="n" cm="1">
        <x:f t="array" ref="AA41">IFERROR(_xlfn.XLOOKUP(AA$27,Pivot!$B$2:$EU$2,_xlfn.XLOOKUP($A41,Pivot!$A$11:$A$35,Pivot!$B$11:$EU$35),0,0),0)</x:f>
        <x:v>0</x:v>
      </x:c>
      <x:c r="AB41" s="472" t="str" cm="1">
        <x:f t="array" ref="AB41">IFERROR(_xlfn.XLOOKUP(AB$27,Pivot!$B$2:$EU$2,_xlfn.XLOOKUP($A41,Pivot!$A$11:$A$35,Pivot!$B$11:$EU$35),0,0),0)</x:f>
      </x:c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  <x:c r="AM41" s="415"/>
      <x:c r="AN41" s="415"/>
      <x:c r="AO41" s="415"/>
      <x:c r="AP41" s="415"/>
      <x:c r="AQ41" s="415"/>
      <x:c r="AR41" s="415"/>
      <x:c r="AS41" s="415"/>
    </x:row>
    <x:row r="42" ht="22" customHeight="1">
      <x:c r="A42" s="1112" t="s">
        <x:v>165</x:v>
      </x:c>
      <x:c r="B42" s="1113" t="s">
        <x:v>31</x:v>
      </x:c>
      <x:c r="C42" s="1114" t="n" cm="1">
        <x:f t="array" ref="C42">IFERROR(_xlfn.XLOOKUP(C$27,Pivot!$B$2:$EU$2,_xlfn.XLOOKUP($A42,Pivot!$A$11:$A$35,Pivot!$B$11:$EU$35),0,0),0)</x:f>
        <x:v>104</x:v>
      </x:c>
      <x:c r="D42" s="1114" t="n" cm="1">
        <x:f t="array" ref="D42">IFERROR(_xlfn.XLOOKUP(D$27,Pivot!$B$2:$EU$2,_xlfn.XLOOKUP($A42,Pivot!$A$11:$A$35,Pivot!$B$11:$EU$35),0,0),0)</x:f>
        <x:v>520</x:v>
      </x:c>
      <x:c r="E42" s="1114" t="n" cm="1">
        <x:f t="array" ref="E42">IFERROR(_xlfn.XLOOKUP(E$27,Pivot!$B$2:$EU$2,_xlfn.XLOOKUP($A42,Pivot!$A$11:$A$35,Pivot!$B$11:$EU$35),0,0),0)</x:f>
        <x:v>6</x:v>
      </x:c>
      <x:c r="F42" s="1114" t="n" cm="1">
        <x:f t="array" ref="F42">IFERROR(_xlfn.XLOOKUP(F$27,Pivot!$B$2:$EU$2,_xlfn.XLOOKUP($A42,Pivot!$A$11:$A$35,Pivot!$B$11:$EU$35),0,0),0)</x:f>
        <x:v>130</x:v>
      </x:c>
      <x:c r="G42" s="1114" t="str" cm="1">
        <x:f t="array" ref="G42">IFERROR(_xlfn.XLOOKUP(G$27,Pivot!$B$2:$EU$2,_xlfn.XLOOKUP($A42,Pivot!$A$11:$A$35,Pivot!$B$11:$EU$35),0,0),0)</x:f>
      </x:c>
      <x:c r="H42" s="1114" t="n" cm="1">
        <x:f t="array" ref="H42">IFERROR(_xlfn.XLOOKUP(H$27,Pivot!$B$2:$EU$2,_xlfn.XLOOKUP($A42,Pivot!$A$11:$A$35,Pivot!$B$11:$EU$35),0,0),0)</x:f>
        <x:v>202</x:v>
      </x:c>
      <x:c r="I42" s="1114" t="str" cm="1">
        <x:f t="array" ref="I42">IFERROR(_xlfn.XLOOKUP(I$27,Pivot!$B$2:$EU$2,_xlfn.XLOOKUP($A42,Pivot!$A$11:$A$35,Pivot!$B$11:$EU$35),0,0),0)</x:f>
      </x:c>
      <x:c r="J42" s="1114" t="n" cm="1">
        <x:f t="array" ref="J42">IFERROR(_xlfn.XLOOKUP(J$27,Pivot!$B$2:$EU$2,_xlfn.XLOOKUP($A42,Pivot!$A$11:$A$35,Pivot!$B$11:$EU$35),0,0),0)</x:f>
        <x:v>29</x:v>
      </x:c>
      <x:c r="K42" s="1114" t="n" cm="1">
        <x:f t="array" ref="K42">IFERROR(_xlfn.XLOOKUP(K$27,Pivot!$B$2:$EU$2,_xlfn.XLOOKUP($A42,Pivot!$A$11:$A$35,Pivot!$B$11:$EU$35),0,0),0)</x:f>
        <x:v>58</x:v>
      </x:c>
      <x:c r="L42" s="1114" t="n" cm="1">
        <x:f t="array" ref="L42">IFERROR(_xlfn.XLOOKUP(L$27,Pivot!$B$2:$EU$2,_xlfn.XLOOKUP($A42,Pivot!$A$11:$A$35,Pivot!$B$11:$EU$35),0,0),0)</x:f>
        <x:v>646</x:v>
      </x:c>
      <x:c r="M42" s="1114" t="n" cm="1">
        <x:f t="array" ref="M42">IFERROR(_xlfn.XLOOKUP(M$27,Pivot!$B$2:$EU$2,_xlfn.XLOOKUP($A42,Pivot!$A$11:$A$35,Pivot!$B$11:$EU$35),0,0),0)</x:f>
        <x:v>4</x:v>
      </x:c>
      <x:c r="N42" s="1114" t="n" cm="1">
        <x:f t="array" ref="N42">IFERROR(_xlfn.XLOOKUP(N$27,Pivot!$B$2:$EU$2,_xlfn.XLOOKUP($A42,Pivot!$A$11:$A$35,Pivot!$B$11:$EU$35),0,0),0)</x:f>
        <x:v>2</x:v>
      </x:c>
      <x:c r="O42" s="1114" t="str" cm="1">
        <x:f t="array" ref="O42">IFERROR(_xlfn.XLOOKUP(O$27,Pivot!$B$2:$EU$2,_xlfn.XLOOKUP($A42,Pivot!$A$11:$A$35,Pivot!$B$11:$EU$35),0,0),0)</x:f>
      </x:c>
      <x:c r="P42" s="1114" t="str" cm="1">
        <x:f t="array" ref="P42">IFERROR(_xlfn.XLOOKUP(P$27,Pivot!$B$2:$EU$2,_xlfn.XLOOKUP($A42,Pivot!$A$11:$A$35,Pivot!$B$11:$EU$35),0,0),0)</x:f>
      </x:c>
      <x:c r="Q42" s="1114" t="n" cm="1">
        <x:f t="array" ref="Q42">IFERROR(_xlfn.XLOOKUP(Q$27,Pivot!$B$2:$EU$2,_xlfn.XLOOKUP($A42,Pivot!$A$11:$A$35,Pivot!$B$11:$EU$35),0,0),0)</x:f>
        <x:v>0</x:v>
      </x:c>
      <x:c r="R42" s="1114" t="n" cm="1">
        <x:f t="array" ref="R42">IFERROR(_xlfn.XLOOKUP(R$27,Pivot!$B$2:$EU$2,_xlfn.XLOOKUP($A42,Pivot!$A$11:$A$35,Pivot!$B$11:$EU$35),0,0),0)</x:f>
        <x:v>0</x:v>
      </x:c>
      <x:c r="S42" s="1114" t="str" cm="1">
        <x:f t="array" ref="S42">IFERROR(_xlfn.XLOOKUP(S$27,Pivot!$B$2:$EU$2,_xlfn.XLOOKUP($A42,Pivot!$A$11:$A$35,Pivot!$B$11:$EU$35),0,0),0)</x:f>
      </x:c>
      <x:c r="T42" s="1114" t="str" cm="1">
        <x:f t="array" ref="T42">IFERROR(_xlfn.XLOOKUP(T$27,Pivot!$B$2:$EU$2,_xlfn.XLOOKUP($A42,Pivot!$A$11:$A$35,Pivot!$B$11:$EU$35),0,0),0)</x:f>
      </x:c>
      <x:c r="U42" s="1114" t="str" cm="1">
        <x:f t="array" ref="U42">IFERROR(_xlfn.XLOOKUP(U$27,Pivot!$B$2:$EU$2,_xlfn.XLOOKUP($A42,Pivot!$A$11:$A$35,Pivot!$B$11:$EU$35),0,0),0)</x:f>
      </x:c>
      <x:c r="V42" s="1114" t="str" cm="1">
        <x:f t="array" ref="V42">IFERROR(_xlfn.XLOOKUP(V$27,Pivot!$B$2:$EU$2,_xlfn.XLOOKUP($A42,Pivot!$A$11:$A$35,Pivot!$B$11:$EU$35),0,0),0)</x:f>
      </x:c>
      <x:c r="W42" s="447" t="str" cm="1">
        <x:f t="array" ref="W42">IFERROR(_xlfn.XLOOKUP(W$27,Pivot!$B$2:$EU$2,_xlfn.XLOOKUP($A42,Pivot!$A$11:$A$35,Pivot!$B$11:$EU$35),0,0),0)</x:f>
      </x:c>
      <x:c r="X42" s="812" t="str" cm="1">
        <x:f t="array" ref="X42">IFERROR(_xlfn.XLOOKUP(X$27,Pivot!$B$2:$EU$2,_xlfn.XLOOKUP($A42,Pivot!$A$11:$A$35,Pivot!$B$11:$EU$35),0,0),0)</x:f>
      </x:c>
      <x:c r="Y42" s="443" t="n" cm="1">
        <x:f t="array" ref="Y42">IFERROR(_xlfn.XLOOKUP(Y$27,Pivot!$B$2:$EU$2,_xlfn.XLOOKUP($A42,Pivot!$A$11:$A$35,Pivot!$B$11:$EU$35),0,0),0)</x:f>
        <x:v>0</x:v>
      </x:c>
      <x:c r="Z42" s="443" t="str" cm="1">
        <x:f t="array" ref="Z42">IFERROR(_xlfn.XLOOKUP(Z$27,Pivot!$B$2:$EU$2,_xlfn.XLOOKUP($A42,Pivot!$A$11:$A$35,Pivot!$B$11:$EU$35),0,0),0)</x:f>
      </x:c>
      <x:c r="AA42" s="443" t="n" cm="1">
        <x:f t="array" ref="AA42">IFERROR(_xlfn.XLOOKUP(AA$27,Pivot!$B$2:$EU$2,_xlfn.XLOOKUP($A42,Pivot!$A$11:$A$35,Pivot!$B$11:$EU$35),0,0),0)</x:f>
        <x:v>0</x:v>
      </x:c>
      <x:c r="AB42" s="443" t="str" cm="1">
        <x:f t="array" ref="AB42">IFERROR(_xlfn.XLOOKUP(AB$27,Pivot!$B$2:$EU$2,_xlfn.XLOOKUP($A42,Pivot!$A$11:$A$35,Pivot!$B$11:$EU$35),0,0),0)</x:f>
      </x:c>
      <x:c r="AC42" s="383"/>
      <x:c r="AD42" s="383"/>
      <x:c r="AE42" s="383"/>
      <x:c r="AF42" s="383"/>
      <x:c r="AG42" s="383"/>
      <x:c r="AH42" s="383"/>
      <x:c r="AI42" s="383"/>
      <x:c r="AJ42" s="383"/>
      <x:c r="AK42" s="383"/>
      <x:c r="AL42" s="383"/>
      <x:c r="AM42" s="383"/>
      <x:c r="AN42" s="383"/>
      <x:c r="AO42" s="383"/>
      <x:c r="AP42" s="383"/>
      <x:c r="AQ42" s="383"/>
      <x:c r="AR42" s="383"/>
      <x:c r="AS42" s="383"/>
    </x:row>
    <x:row r="43" ht="22" customHeight="1">
      <x:c r="A43" s="1178" t="s">
        <x:v>176</x:v>
      </x:c>
      <x:c r="B43" s="1179" t="s">
        <x:v>53</x:v>
      </x:c>
      <x:c r="C43" s="1180" t="str" cm="1">
        <x:f t="array" ref="C43">IFERROR(_xlfn.XLOOKUP(C$27,Pivot!$B$2:$EU$2,_xlfn.XLOOKUP($A43,Pivot!$A$11:$A$35,Pivot!$B$11:$EU$35),0,0),0)</x:f>
      </x:c>
      <x:c r="D43" s="1180" t="str" cm="1">
        <x:f t="array" ref="D43">IFERROR(_xlfn.XLOOKUP(D$27,Pivot!$B$2:$EU$2,_xlfn.XLOOKUP($A43,Pivot!$A$11:$A$35,Pivot!$B$11:$EU$35),0,0),0)</x:f>
      </x:c>
      <x:c r="E43" s="1180" t="str" cm="1">
        <x:f t="array" ref="E43">IFERROR(_xlfn.XLOOKUP(E$27,Pivot!$B$2:$EU$2,_xlfn.XLOOKUP($A43,Pivot!$A$11:$A$35,Pivot!$B$11:$EU$35),0,0),0)</x:f>
      </x:c>
      <x:c r="F43" s="1180" t="str" cm="1">
        <x:f t="array" ref="F43">IFERROR(_xlfn.XLOOKUP(F$27,Pivot!$B$2:$EU$2,_xlfn.XLOOKUP($A43,Pivot!$A$11:$A$35,Pivot!$B$11:$EU$35),0,0),0)</x:f>
      </x:c>
      <x:c r="G43" s="1180" t="str" cm="1">
        <x:f t="array" ref="G43">IFERROR(_xlfn.XLOOKUP(G$27,Pivot!$B$2:$EU$2,_xlfn.XLOOKUP($A43,Pivot!$A$11:$A$35,Pivot!$B$11:$EU$35),0,0),0)</x:f>
      </x:c>
      <x:c r="H43" s="1180" t="str" cm="1">
        <x:f t="array" ref="H43">IFERROR(_xlfn.XLOOKUP(H$27,Pivot!$B$2:$EU$2,_xlfn.XLOOKUP($A43,Pivot!$A$11:$A$35,Pivot!$B$11:$EU$35),0,0),0)</x:f>
      </x:c>
      <x:c r="I43" s="1180" t="str" cm="1">
        <x:f t="array" ref="I43">IFERROR(_xlfn.XLOOKUP(I$27,Pivot!$B$2:$EU$2,_xlfn.XLOOKUP($A43,Pivot!$A$11:$A$35,Pivot!$B$11:$EU$35),0,0),0)</x:f>
      </x:c>
      <x:c r="J43" s="1180" t="str" cm="1">
        <x:f t="array" ref="J43">IFERROR(_xlfn.XLOOKUP(J$27,Pivot!$B$2:$EU$2,_xlfn.XLOOKUP($A43,Pivot!$A$11:$A$35,Pivot!$B$11:$EU$35),0,0),0)</x:f>
      </x:c>
      <x:c r="K43" s="1180" t="str" cm="1">
        <x:f t="array" ref="K43">IFERROR(_xlfn.XLOOKUP(K$27,Pivot!$B$2:$EU$2,_xlfn.XLOOKUP($A43,Pivot!$A$11:$A$35,Pivot!$B$11:$EU$35),0,0),0)</x:f>
      </x:c>
      <x:c r="L43" s="1180" t="str" cm="1">
        <x:f t="array" ref="L43">IFERROR(_xlfn.XLOOKUP(L$27,Pivot!$B$2:$EU$2,_xlfn.XLOOKUP($A43,Pivot!$A$11:$A$35,Pivot!$B$11:$EU$35),0,0),0)</x:f>
      </x:c>
      <x:c r="M43" s="1180" t="str" cm="1">
        <x:f t="array" ref="M43">IFERROR(_xlfn.XLOOKUP(M$27,Pivot!$B$2:$EU$2,_xlfn.XLOOKUP($A43,Pivot!$A$11:$A$35,Pivot!$B$11:$EU$35),0,0),0)</x:f>
      </x:c>
      <x:c r="N43" s="1180" t="str" cm="1">
        <x:f t="array" ref="N43">IFERROR(_xlfn.XLOOKUP(N$27,Pivot!$B$2:$EU$2,_xlfn.XLOOKUP($A43,Pivot!$A$11:$A$35,Pivot!$B$11:$EU$35),0,0),0)</x:f>
      </x:c>
      <x:c r="O43" s="1180" t="str" cm="1">
        <x:f t="array" ref="O43">IFERROR(_xlfn.XLOOKUP(O$27,Pivot!$B$2:$EU$2,_xlfn.XLOOKUP($A43,Pivot!$A$11:$A$35,Pivot!$B$11:$EU$35),0,0),0)</x:f>
      </x:c>
      <x:c r="P43" s="1180" t="str" cm="1">
        <x:f t="array" ref="P43">IFERROR(_xlfn.XLOOKUP(P$27,Pivot!$B$2:$EU$2,_xlfn.XLOOKUP($A43,Pivot!$A$11:$A$35,Pivot!$B$11:$EU$35),0,0),0)</x:f>
      </x:c>
      <x:c r="Q43" s="1180" t="n" cm="1">
        <x:f t="array" ref="Q43">IFERROR(_xlfn.XLOOKUP(Q$27,Pivot!$B$2:$EU$2,_xlfn.XLOOKUP($A43,Pivot!$A$11:$A$35,Pivot!$B$11:$EU$35),0,0),0)</x:f>
        <x:v>0</x:v>
      </x:c>
      <x:c r="R43" s="1180" t="n" cm="1">
        <x:f t="array" ref="R43">IFERROR(_xlfn.XLOOKUP(R$27,Pivot!$B$2:$EU$2,_xlfn.XLOOKUP($A43,Pivot!$A$11:$A$35,Pivot!$B$11:$EU$35),0,0),0)</x:f>
        <x:v>0</x:v>
      </x:c>
      <x:c r="S43" s="1180" t="str" cm="1">
        <x:f t="array" ref="S43">IFERROR(_xlfn.XLOOKUP(S$27,Pivot!$B$2:$EU$2,_xlfn.XLOOKUP($A43,Pivot!$A$11:$A$35,Pivot!$B$11:$EU$35),0,0),0)</x:f>
      </x:c>
      <x:c r="T43" s="1180" t="str" cm="1">
        <x:f t="array" ref="T43">IFERROR(_xlfn.XLOOKUP(T$27,Pivot!$B$2:$EU$2,_xlfn.XLOOKUP($A43,Pivot!$A$11:$A$35,Pivot!$B$11:$EU$35),0,0),0)</x:f>
      </x:c>
      <x:c r="U43" s="1180" t="str" cm="1">
        <x:f t="array" ref="U43">IFERROR(_xlfn.XLOOKUP(U$27,Pivot!$B$2:$EU$2,_xlfn.XLOOKUP($A43,Pivot!$A$11:$A$35,Pivot!$B$11:$EU$35),0,0),0)</x:f>
      </x:c>
      <x:c r="V43" s="1180" t="str" cm="1">
        <x:f t="array" ref="V43">IFERROR(_xlfn.XLOOKUP(V$27,Pivot!$B$2:$EU$2,_xlfn.XLOOKUP($A43,Pivot!$A$11:$A$35,Pivot!$B$11:$EU$35),0,0),0)</x:f>
      </x:c>
      <x:c r="W43" s="469" t="str" cm="1">
        <x:f t="array" ref="W43">IFERROR(_xlfn.XLOOKUP(W$27,Pivot!$B$2:$EU$2,_xlfn.XLOOKUP($A43,Pivot!$A$11:$A$35,Pivot!$B$11:$EU$35),0,0),0)</x:f>
      </x:c>
      <x:c r="X43" s="903" t="str" cm="1">
        <x:f t="array" ref="X43">IFERROR(_xlfn.XLOOKUP(X$27,Pivot!$B$2:$EU$2,_xlfn.XLOOKUP($A43,Pivot!$A$11:$A$35,Pivot!$B$11:$EU$35),0,0),0)</x:f>
      </x:c>
      <x:c r="Y43" s="472" t="n" cm="1">
        <x:f t="array" ref="Y43">IFERROR(_xlfn.XLOOKUP(Y$27,Pivot!$B$2:$EU$2,_xlfn.XLOOKUP($A43,Pivot!$A$11:$A$35,Pivot!$B$11:$EU$35),0,0),0)</x:f>
        <x:v>0</x:v>
      </x:c>
      <x:c r="Z43" s="472" t="str" cm="1">
        <x:f t="array" ref="Z43">IFERROR(_xlfn.XLOOKUP(Z$27,Pivot!$B$2:$EU$2,_xlfn.XLOOKUP($A43,Pivot!$A$11:$A$35,Pivot!$B$11:$EU$35),0,0),0)</x:f>
      </x:c>
      <x:c r="AA43" s="472" t="n" cm="1">
        <x:f t="array" ref="AA43">IFERROR(_xlfn.XLOOKUP(AA$27,Pivot!$B$2:$EU$2,_xlfn.XLOOKUP($A43,Pivot!$A$11:$A$35,Pivot!$B$11:$EU$35),0,0),0)</x:f>
        <x:v>0</x:v>
      </x:c>
      <x:c r="AB43" s="472" t="str" cm="1">
        <x:f t="array" ref="AB43">IFERROR(_xlfn.XLOOKUP(AB$27,Pivot!$B$2:$EU$2,_xlfn.XLOOKUP($A43,Pivot!$A$11:$A$35,Pivot!$B$11:$EU$35),0,0),0)</x:f>
      </x:c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  <x:c r="AM43" s="415"/>
      <x:c r="AN43" s="415"/>
      <x:c r="AO43" s="415"/>
      <x:c r="AP43" s="415"/>
      <x:c r="AQ43" s="415"/>
      <x:c r="AR43" s="415"/>
      <x:c r="AS43" s="415"/>
    </x:row>
    <x:row r="44" ht="22" customHeight="1">
      <x:c r="A44" s="1112" t="s">
        <x:v>247</x:v>
      </x:c>
      <x:c r="B44" s="1113" t="s">
        <x:v>37</x:v>
      </x:c>
      <x:c r="C44" s="1114" t="n" cm="1">
        <x:f t="array" ref="C44">IFERROR(_xlfn.XLOOKUP(C$27,Pivot!$B$2:$EU$2,_xlfn.XLOOKUP($A44,Pivot!$A$11:$A$35,Pivot!$B$11:$EU$35),0,0),0)</x:f>
        <x:v>86</x:v>
      </x:c>
      <x:c r="D44" s="1114" t="n" cm="1">
        <x:f t="array" ref="D44">IFERROR(_xlfn.XLOOKUP(D$27,Pivot!$B$2:$EU$2,_xlfn.XLOOKUP($A44,Pivot!$A$11:$A$35,Pivot!$B$11:$EU$35),0,0),0)</x:f>
        <x:v>230</x:v>
      </x:c>
      <x:c r="E44" s="1114" t="n" cm="1">
        <x:f t="array" ref="E44">IFERROR(_xlfn.XLOOKUP(E$27,Pivot!$B$2:$EU$2,_xlfn.XLOOKUP($A44,Pivot!$A$11:$A$35,Pivot!$B$11:$EU$35),0,0),0)</x:f>
        <x:v>58</x:v>
      </x:c>
      <x:c r="F44" s="1114" t="n" cm="1">
        <x:f t="array" ref="F44">IFERROR(_xlfn.XLOOKUP(F$27,Pivot!$B$2:$EU$2,_xlfn.XLOOKUP($A44,Pivot!$A$11:$A$35,Pivot!$B$11:$EU$35),0,0),0)</x:f>
        <x:v>88</x:v>
      </x:c>
      <x:c r="G44" s="1114" t="n" cm="1">
        <x:f t="array" ref="G44">IFERROR(_xlfn.XLOOKUP(G$27,Pivot!$B$2:$EU$2,_xlfn.XLOOKUP($A44,Pivot!$A$11:$A$35,Pivot!$B$11:$EU$35),0,0),0)</x:f>
        <x:v>10</x:v>
      </x:c>
      <x:c r="H44" s="1114" t="n" cm="1">
        <x:f t="array" ref="H44">IFERROR(_xlfn.XLOOKUP(H$27,Pivot!$B$2:$EU$2,_xlfn.XLOOKUP($A44,Pivot!$A$11:$A$35,Pivot!$B$11:$EU$35),0,0),0)</x:f>
        <x:v>41</x:v>
      </x:c>
      <x:c r="I44" s="1114" t="n" cm="1">
        <x:f t="array" ref="I44">IFERROR(_xlfn.XLOOKUP(I$27,Pivot!$B$2:$EU$2,_xlfn.XLOOKUP($A44,Pivot!$A$11:$A$35,Pivot!$B$11:$EU$35),0,0),0)</x:f>
        <x:v>2</x:v>
      </x:c>
      <x:c r="J44" s="1114" t="n" cm="1">
        <x:f t="array" ref="J44">IFERROR(_xlfn.XLOOKUP(J$27,Pivot!$B$2:$EU$2,_xlfn.XLOOKUP($A44,Pivot!$A$11:$A$35,Pivot!$B$11:$EU$35),0,0),0)</x:f>
        <x:v>7</x:v>
      </x:c>
      <x:c r="K44" s="1114" t="n" cm="1">
        <x:f t="array" ref="K44">IFERROR(_xlfn.XLOOKUP(K$27,Pivot!$B$2:$EU$2,_xlfn.XLOOKUP($A44,Pivot!$A$11:$A$35,Pivot!$B$11:$EU$35),0,0),0)</x:f>
        <x:v>210</x:v>
      </x:c>
      <x:c r="L44" s="1114" t="n" cm="1">
        <x:f t="array" ref="L44">IFERROR(_xlfn.XLOOKUP(L$27,Pivot!$B$2:$EU$2,_xlfn.XLOOKUP($A44,Pivot!$A$11:$A$35,Pivot!$B$11:$EU$35),0,0),0)</x:f>
        <x:v>236</x:v>
      </x:c>
      <x:c r="M44" s="1114" t="str" cm="1">
        <x:f t="array" ref="M44">IFERROR(_xlfn.XLOOKUP(M$27,Pivot!$B$2:$EU$2,_xlfn.XLOOKUP($A44,Pivot!$A$11:$A$35,Pivot!$B$11:$EU$35),0,0),0)</x:f>
      </x:c>
      <x:c r="N44" s="1114" t="n" cm="1">
        <x:f t="array" ref="N44">IFERROR(_xlfn.XLOOKUP(N$27,Pivot!$B$2:$EU$2,_xlfn.XLOOKUP($A44,Pivot!$A$11:$A$35,Pivot!$B$11:$EU$35),0,0),0)</x:f>
        <x:v>4</x:v>
      </x:c>
      <x:c r="O44" s="1114" t="str" cm="1">
        <x:f t="array" ref="O44">IFERROR(_xlfn.XLOOKUP(O$27,Pivot!$B$2:$EU$2,_xlfn.XLOOKUP($A44,Pivot!$A$11:$A$35,Pivot!$B$11:$EU$35),0,0),0)</x:f>
      </x:c>
      <x:c r="P44" s="1114" t="str" cm="1">
        <x:f t="array" ref="P44">IFERROR(_xlfn.XLOOKUP(P$27,Pivot!$B$2:$EU$2,_xlfn.XLOOKUP($A44,Pivot!$A$11:$A$35,Pivot!$B$11:$EU$35),0,0),0)</x:f>
      </x:c>
      <x:c r="Q44" s="1114" t="n" cm="1">
        <x:f t="array" ref="Q44">IFERROR(_xlfn.XLOOKUP(Q$27,Pivot!$B$2:$EU$2,_xlfn.XLOOKUP($A44,Pivot!$A$11:$A$35,Pivot!$B$11:$EU$35),0,0),0)</x:f>
        <x:v>0</x:v>
      </x:c>
      <x:c r="R44" s="1114" t="n" cm="1">
        <x:f t="array" ref="R44">IFERROR(_xlfn.XLOOKUP(R$27,Pivot!$B$2:$EU$2,_xlfn.XLOOKUP($A44,Pivot!$A$11:$A$35,Pivot!$B$11:$EU$35),0,0),0)</x:f>
        <x:v>0</x:v>
      </x:c>
      <x:c r="S44" s="1114" t="str" cm="1">
        <x:f t="array" ref="S44">IFERROR(_xlfn.XLOOKUP(S$27,Pivot!$B$2:$EU$2,_xlfn.XLOOKUP($A44,Pivot!$A$11:$A$35,Pivot!$B$11:$EU$35),0,0),0)</x:f>
      </x:c>
      <x:c r="T44" s="1114" t="str" cm="1">
        <x:f t="array" ref="T44">IFERROR(_xlfn.XLOOKUP(T$27,Pivot!$B$2:$EU$2,_xlfn.XLOOKUP($A44,Pivot!$A$11:$A$35,Pivot!$B$11:$EU$35),0,0),0)</x:f>
      </x:c>
      <x:c r="U44" s="1114" t="str" cm="1">
        <x:f t="array" ref="U44">IFERROR(_xlfn.XLOOKUP(U$27,Pivot!$B$2:$EU$2,_xlfn.XLOOKUP($A44,Pivot!$A$11:$A$35,Pivot!$B$11:$EU$35),0,0),0)</x:f>
      </x:c>
      <x:c r="V44" s="1114" t="str" cm="1">
        <x:f t="array" ref="V44">IFERROR(_xlfn.XLOOKUP(V$27,Pivot!$B$2:$EU$2,_xlfn.XLOOKUP($A44,Pivot!$A$11:$A$35,Pivot!$B$11:$EU$35),0,0),0)</x:f>
      </x:c>
      <x:c r="W44" s="447" t="str" cm="1">
        <x:f t="array" ref="W44">IFERROR(_xlfn.XLOOKUP(W$27,Pivot!$B$2:$EU$2,_xlfn.XLOOKUP($A44,Pivot!$A$11:$A$35,Pivot!$B$11:$EU$35),0,0),0)</x:f>
      </x:c>
      <x:c r="X44" s="812" t="str" cm="1">
        <x:f t="array" ref="X44">IFERROR(_xlfn.XLOOKUP(X$27,Pivot!$B$2:$EU$2,_xlfn.XLOOKUP($A44,Pivot!$A$11:$A$35,Pivot!$B$11:$EU$35),0,0),0)</x:f>
      </x:c>
      <x:c r="Y44" s="443" t="n" cm="1">
        <x:f t="array" ref="Y44">IFERROR(_xlfn.XLOOKUP(Y$27,Pivot!$B$2:$EU$2,_xlfn.XLOOKUP($A44,Pivot!$A$11:$A$35,Pivot!$B$11:$EU$35),0,0),0)</x:f>
        <x:v>0</x:v>
      </x:c>
      <x:c r="Z44" s="443" t="str" cm="1">
        <x:f t="array" ref="Z44">IFERROR(_xlfn.XLOOKUP(Z$27,Pivot!$B$2:$EU$2,_xlfn.XLOOKUP($A44,Pivot!$A$11:$A$35,Pivot!$B$11:$EU$35),0,0),0)</x:f>
      </x:c>
      <x:c r="AA44" s="443" t="n" cm="1">
        <x:f t="array" ref="AA44">IFERROR(_xlfn.XLOOKUP(AA$27,Pivot!$B$2:$EU$2,_xlfn.XLOOKUP($A44,Pivot!$A$11:$A$35,Pivot!$B$11:$EU$35),0,0),0)</x:f>
        <x:v>0</x:v>
      </x:c>
      <x:c r="AB44" s="443" t="str" cm="1">
        <x:f t="array" ref="AB44">IFERROR(_xlfn.XLOOKUP(AB$27,Pivot!$B$2:$EU$2,_xlfn.XLOOKUP($A44,Pivot!$A$11:$A$35,Pivot!$B$11:$EU$35),0,0),0)</x:f>
      </x:c>
      <x:c r="AC44" s="383"/>
      <x:c r="AD44" s="383"/>
      <x:c r="AE44" s="383"/>
      <x:c r="AF44" s="383"/>
      <x:c r="AG44" s="383"/>
      <x:c r="AH44" s="383"/>
      <x:c r="AI44" s="383"/>
      <x:c r="AJ44" s="383"/>
      <x:c r="AK44" s="383"/>
      <x:c r="AL44" s="383"/>
      <x:c r="AM44" s="383"/>
      <x:c r="AN44" s="383"/>
      <x:c r="AO44" s="383"/>
      <x:c r="AP44" s="383"/>
      <x:c r="AQ44" s="383"/>
      <x:c r="AR44" s="383"/>
      <x:c r="AS44" s="383"/>
    </x:row>
    <x:row r="45" ht="22" customHeight="1">
      <x:c r="A45" s="1178" t="s">
        <x:v>172</x:v>
      </x:c>
      <x:c r="B45" s="1179" t="s">
        <x:v>45</x:v>
      </x:c>
      <x:c r="C45" s="1180" t="n" cm="1">
        <x:f t="array" ref="C45">IFERROR(_xlfn.XLOOKUP(C$27,Pivot!$B$2:$EU$2,_xlfn.XLOOKUP($A45,Pivot!$A$11:$A$35,Pivot!$B$11:$EU$35),0,0),0)</x:f>
        <x:v>10</x:v>
      </x:c>
      <x:c r="D45" s="1180" t="n" cm="1">
        <x:f t="array" ref="D45">IFERROR(_xlfn.XLOOKUP(D$27,Pivot!$B$2:$EU$2,_xlfn.XLOOKUP($A45,Pivot!$A$11:$A$35,Pivot!$B$11:$EU$35),0,0),0)</x:f>
        <x:v>48</x:v>
      </x:c>
      <x:c r="E45" s="1180" t="n" cm="1">
        <x:f t="array" ref="E45">IFERROR(_xlfn.XLOOKUP(E$27,Pivot!$B$2:$EU$2,_xlfn.XLOOKUP($A45,Pivot!$A$11:$A$35,Pivot!$B$11:$EU$35),0,0),0)</x:f>
        <x:v>10</x:v>
      </x:c>
      <x:c r="F45" s="1180" t="n" cm="1">
        <x:f t="array" ref="F45">IFERROR(_xlfn.XLOOKUP(F$27,Pivot!$B$2:$EU$2,_xlfn.XLOOKUP($A45,Pivot!$A$11:$A$35,Pivot!$B$11:$EU$35),0,0),0)</x:f>
        <x:v>22</x:v>
      </x:c>
      <x:c r="G45" s="1180" t="n" cm="1">
        <x:f t="array" ref="G45">IFERROR(_xlfn.XLOOKUP(G$27,Pivot!$B$2:$EU$2,_xlfn.XLOOKUP($A45,Pivot!$A$11:$A$35,Pivot!$B$11:$EU$35),0,0),0)</x:f>
        <x:v>4</x:v>
      </x:c>
      <x:c r="H45" s="1180" t="n" cm="1">
        <x:f t="array" ref="H45">IFERROR(_xlfn.XLOOKUP(H$27,Pivot!$B$2:$EU$2,_xlfn.XLOOKUP($A45,Pivot!$A$11:$A$35,Pivot!$B$11:$EU$35),0,0),0)</x:f>
        <x:v>8</x:v>
      </x:c>
      <x:c r="I45" s="1180" t="str" cm="1">
        <x:f t="array" ref="I45">IFERROR(_xlfn.XLOOKUP(I$27,Pivot!$B$2:$EU$2,_xlfn.XLOOKUP($A45,Pivot!$A$11:$A$35,Pivot!$B$11:$EU$35),0,0),0)</x:f>
      </x:c>
      <x:c r="J45" s="1180" t="n" cm="1">
        <x:f t="array" ref="J45">IFERROR(_xlfn.XLOOKUP(J$27,Pivot!$B$2:$EU$2,_xlfn.XLOOKUP($A45,Pivot!$A$11:$A$35,Pivot!$B$11:$EU$35),0,0),0)</x:f>
        <x:v>4</x:v>
      </x:c>
      <x:c r="K45" s="1180" t="str" cm="1">
        <x:f t="array" ref="K45">IFERROR(_xlfn.XLOOKUP(K$27,Pivot!$B$2:$EU$2,_xlfn.XLOOKUP($A45,Pivot!$A$11:$A$35,Pivot!$B$11:$EU$35),0,0),0)</x:f>
      </x:c>
      <x:c r="L45" s="1180" t="n" cm="1">
        <x:f t="array" ref="L45">IFERROR(_xlfn.XLOOKUP(L$27,Pivot!$B$2:$EU$2,_xlfn.XLOOKUP($A45,Pivot!$A$11:$A$35,Pivot!$B$11:$EU$35),0,0),0)</x:f>
        <x:v>70</x:v>
      </x:c>
      <x:c r="M45" s="1180" t="n" cm="1">
        <x:f t="array" ref="M45">IFERROR(_xlfn.XLOOKUP(M$27,Pivot!$B$2:$EU$2,_xlfn.XLOOKUP($A45,Pivot!$A$11:$A$35,Pivot!$B$11:$EU$35),0,0),0)</x:f>
        <x:v>1</x:v>
      </x:c>
      <x:c r="N45" s="1180" t="n" cm="1">
        <x:f t="array" ref="N45">IFERROR(_xlfn.XLOOKUP(N$27,Pivot!$B$2:$EU$2,_xlfn.XLOOKUP($A45,Pivot!$A$11:$A$35,Pivot!$B$11:$EU$35),0,0),0)</x:f>
        <x:v>8</x:v>
      </x:c>
      <x:c r="O45" s="1180" t="str" cm="1">
        <x:f t="array" ref="O45">IFERROR(_xlfn.XLOOKUP(O$27,Pivot!$B$2:$EU$2,_xlfn.XLOOKUP($A45,Pivot!$A$11:$A$35,Pivot!$B$11:$EU$35),0,0),0)</x:f>
      </x:c>
      <x:c r="P45" s="1180" t="str" cm="1">
        <x:f t="array" ref="P45">IFERROR(_xlfn.XLOOKUP(P$27,Pivot!$B$2:$EU$2,_xlfn.XLOOKUP($A45,Pivot!$A$11:$A$35,Pivot!$B$11:$EU$35),0,0),0)</x:f>
      </x:c>
      <x:c r="Q45" s="1180" t="n" cm="1">
        <x:f t="array" ref="Q45">IFERROR(_xlfn.XLOOKUP(Q$27,Pivot!$B$2:$EU$2,_xlfn.XLOOKUP($A45,Pivot!$A$11:$A$35,Pivot!$B$11:$EU$35),0,0),0)</x:f>
        <x:v>0</x:v>
      </x:c>
      <x:c r="R45" s="1180" t="n" cm="1">
        <x:f t="array" ref="R45">IFERROR(_xlfn.XLOOKUP(R$27,Pivot!$B$2:$EU$2,_xlfn.XLOOKUP($A45,Pivot!$A$11:$A$35,Pivot!$B$11:$EU$35),0,0),0)</x:f>
        <x:v>0</x:v>
      </x:c>
      <x:c r="S45" s="1180" t="str" cm="1">
        <x:f t="array" ref="S45">IFERROR(_xlfn.XLOOKUP(S$27,Pivot!$B$2:$EU$2,_xlfn.XLOOKUP($A45,Pivot!$A$11:$A$35,Pivot!$B$11:$EU$35),0,0),0)</x:f>
      </x:c>
      <x:c r="T45" s="1180" t="str" cm="1">
        <x:f t="array" ref="T45">IFERROR(_xlfn.XLOOKUP(T$27,Pivot!$B$2:$EU$2,_xlfn.XLOOKUP($A45,Pivot!$A$11:$A$35,Pivot!$B$11:$EU$35),0,0),0)</x:f>
      </x:c>
      <x:c r="U45" s="1180" t="str" cm="1">
        <x:f t="array" ref="U45">IFERROR(_xlfn.XLOOKUP(U$27,Pivot!$B$2:$EU$2,_xlfn.XLOOKUP($A45,Pivot!$A$11:$A$35,Pivot!$B$11:$EU$35),0,0),0)</x:f>
      </x:c>
      <x:c r="V45" s="1180" t="str" cm="1">
        <x:f t="array" ref="V45">IFERROR(_xlfn.XLOOKUP(V$27,Pivot!$B$2:$EU$2,_xlfn.XLOOKUP($A45,Pivot!$A$11:$A$35,Pivot!$B$11:$EU$35),0,0),0)</x:f>
      </x:c>
      <x:c r="W45" s="469" t="str" cm="1">
        <x:f t="array" ref="W45">IFERROR(_xlfn.XLOOKUP(W$27,Pivot!$B$2:$EU$2,_xlfn.XLOOKUP($A45,Pivot!$A$11:$A$35,Pivot!$B$11:$EU$35),0,0),0)</x:f>
      </x:c>
      <x:c r="X45" s="903" t="str" cm="1">
        <x:f t="array" ref="X45">IFERROR(_xlfn.XLOOKUP(X$27,Pivot!$B$2:$EU$2,_xlfn.XLOOKUP($A45,Pivot!$A$11:$A$35,Pivot!$B$11:$EU$35),0,0),0)</x:f>
      </x:c>
      <x:c r="Y45" s="472" t="n" cm="1">
        <x:f t="array" ref="Y45">IFERROR(_xlfn.XLOOKUP(Y$27,Pivot!$B$2:$EU$2,_xlfn.XLOOKUP($A45,Pivot!$A$11:$A$35,Pivot!$B$11:$EU$35),0,0),0)</x:f>
        <x:v>0</x:v>
      </x:c>
      <x:c r="Z45" s="472" t="str" cm="1">
        <x:f t="array" ref="Z45">IFERROR(_xlfn.XLOOKUP(Z$27,Pivot!$B$2:$EU$2,_xlfn.XLOOKUP($A45,Pivot!$A$11:$A$35,Pivot!$B$11:$EU$35),0,0),0)</x:f>
      </x:c>
      <x:c r="AA45" s="472" t="n" cm="1">
        <x:f t="array" ref="AA45">IFERROR(_xlfn.XLOOKUP(AA$27,Pivot!$B$2:$EU$2,_xlfn.XLOOKUP($A45,Pivot!$A$11:$A$35,Pivot!$B$11:$EU$35),0,0),0)</x:f>
        <x:v>0</x:v>
      </x:c>
      <x:c r="AB45" s="472" t="str" cm="1">
        <x:f t="array" ref="AB45">IFERROR(_xlfn.XLOOKUP(AB$27,Pivot!$B$2:$EU$2,_xlfn.XLOOKUP($A45,Pivot!$A$11:$A$35,Pivot!$B$11:$EU$35),0,0),0)</x:f>
      </x:c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  <x:c r="AM45" s="415"/>
      <x:c r="AN45" s="415"/>
      <x:c r="AO45" s="415"/>
      <x:c r="AP45" s="415"/>
      <x:c r="AQ45" s="415"/>
      <x:c r="AR45" s="415"/>
      <x:c r="AS45" s="415"/>
    </x:row>
    <x:row r="46" ht="22" customHeight="1">
      <x:c r="A46" s="1112" t="s">
        <x:v>173</x:v>
      </x:c>
      <x:c r="B46" s="1113" t="s">
        <x:v>47</x:v>
      </x:c>
      <x:c r="C46" s="1114" t="n" cm="1">
        <x:f t="array" ref="C46">IFERROR(_xlfn.XLOOKUP(C$27,Pivot!$B$2:$EU$2,_xlfn.XLOOKUP($A46,Pivot!$A$11:$A$35,Pivot!$B$11:$EU$35),0,0),0)</x:f>
        <x:v>4</x:v>
      </x:c>
      <x:c r="D46" s="1114" t="n" cm="1">
        <x:f t="array" ref="D46">IFERROR(_xlfn.XLOOKUP(D$27,Pivot!$B$2:$EU$2,_xlfn.XLOOKUP($A46,Pivot!$A$11:$A$35,Pivot!$B$11:$EU$35),0,0),0)</x:f>
        <x:v>118</x:v>
      </x:c>
      <x:c r="E46" s="1114" t="n" cm="1">
        <x:f t="array" ref="E46">IFERROR(_xlfn.XLOOKUP(E$27,Pivot!$B$2:$EU$2,_xlfn.XLOOKUP($A46,Pivot!$A$11:$A$35,Pivot!$B$11:$EU$35),0,0),0)</x:f>
        <x:v>10</x:v>
      </x:c>
      <x:c r="F46" s="1114" t="n" cm="1">
        <x:f t="array" ref="F46">IFERROR(_xlfn.XLOOKUP(F$27,Pivot!$B$2:$EU$2,_xlfn.XLOOKUP($A46,Pivot!$A$11:$A$35,Pivot!$B$11:$EU$35),0,0),0)</x:f>
        <x:v>244</x:v>
      </x:c>
      <x:c r="G46" s="1114" t="n" cm="1">
        <x:f t="array" ref="G46">IFERROR(_xlfn.XLOOKUP(G$27,Pivot!$B$2:$EU$2,_xlfn.XLOOKUP($A46,Pivot!$A$11:$A$35,Pivot!$B$11:$EU$35),0,0),0)</x:f>
        <x:v>4</x:v>
      </x:c>
      <x:c r="H46" s="1114" t="n" cm="1">
        <x:f t="array" ref="H46">IFERROR(_xlfn.XLOOKUP(H$27,Pivot!$B$2:$EU$2,_xlfn.XLOOKUP($A46,Pivot!$A$11:$A$35,Pivot!$B$11:$EU$35),0,0),0)</x:f>
        <x:v>106</x:v>
      </x:c>
      <x:c r="I46" s="1114" t="str" cm="1">
        <x:f t="array" ref="I46">IFERROR(_xlfn.XLOOKUP(I$27,Pivot!$B$2:$EU$2,_xlfn.XLOOKUP($A46,Pivot!$A$11:$A$35,Pivot!$B$11:$EU$35),0,0),0)</x:f>
      </x:c>
      <x:c r="J46" s="1114" t="n" cm="1">
        <x:f t="array" ref="J46">IFERROR(_xlfn.XLOOKUP(J$27,Pivot!$B$2:$EU$2,_xlfn.XLOOKUP($A46,Pivot!$A$11:$A$35,Pivot!$B$11:$EU$35),0,0),0)</x:f>
        <x:v>46</x:v>
      </x:c>
      <x:c r="K46" s="1114" t="n" cm="1">
        <x:f t="array" ref="K46">IFERROR(_xlfn.XLOOKUP(K$27,Pivot!$B$2:$EU$2,_xlfn.XLOOKUP($A46,Pivot!$A$11:$A$35,Pivot!$B$11:$EU$35),0,0),0)</x:f>
        <x:v>7</x:v>
      </x:c>
      <x:c r="L46" s="1114" t="n" cm="1">
        <x:f t="array" ref="L46">IFERROR(_xlfn.XLOOKUP(L$27,Pivot!$B$2:$EU$2,_xlfn.XLOOKUP($A46,Pivot!$A$11:$A$35,Pivot!$B$11:$EU$35),0,0),0)</x:f>
        <x:v>994</x:v>
      </x:c>
      <x:c r="M46" s="1114" t="n" cm="1">
        <x:f t="array" ref="M46">IFERROR(_xlfn.XLOOKUP(M$27,Pivot!$B$2:$EU$2,_xlfn.XLOOKUP($A46,Pivot!$A$11:$A$35,Pivot!$B$11:$EU$35),0,0),0)</x:f>
        <x:v>4</x:v>
      </x:c>
      <x:c r="N46" s="1114" t="n" cm="1">
        <x:f t="array" ref="N46">IFERROR(_xlfn.XLOOKUP(N$27,Pivot!$B$2:$EU$2,_xlfn.XLOOKUP($A46,Pivot!$A$11:$A$35,Pivot!$B$11:$EU$35),0,0),0)</x:f>
        <x:v>18</x:v>
      </x:c>
      <x:c r="O46" s="1114" t="str" cm="1">
        <x:f t="array" ref="O46">IFERROR(_xlfn.XLOOKUP(O$27,Pivot!$B$2:$EU$2,_xlfn.XLOOKUP($A46,Pivot!$A$11:$A$35,Pivot!$B$11:$EU$35),0,0),0)</x:f>
      </x:c>
      <x:c r="P46" s="1114" t="n" cm="1">
        <x:f t="array" ref="P46">IFERROR(_xlfn.XLOOKUP(P$27,Pivot!$B$2:$EU$2,_xlfn.XLOOKUP($A46,Pivot!$A$11:$A$35,Pivot!$B$11:$EU$35),0,0),0)</x:f>
        <x:v>35</x:v>
      </x:c>
      <x:c r="Q46" s="1114" t="n" cm="1">
        <x:f t="array" ref="Q46">IFERROR(_xlfn.XLOOKUP(Q$27,Pivot!$B$2:$EU$2,_xlfn.XLOOKUP($A46,Pivot!$A$11:$A$35,Pivot!$B$11:$EU$35),0,0),0)</x:f>
        <x:v>0</x:v>
      </x:c>
      <x:c r="R46" s="1114" t="n" cm="1">
        <x:f t="array" ref="R46">IFERROR(_xlfn.XLOOKUP(R$27,Pivot!$B$2:$EU$2,_xlfn.XLOOKUP($A46,Pivot!$A$11:$A$35,Pivot!$B$11:$EU$35),0,0),0)</x:f>
        <x:v>0</x:v>
      </x:c>
      <x:c r="S46" s="1114" t="str" cm="1">
        <x:f t="array" ref="S46">IFERROR(_xlfn.XLOOKUP(S$27,Pivot!$B$2:$EU$2,_xlfn.XLOOKUP($A46,Pivot!$A$11:$A$35,Pivot!$B$11:$EU$35),0,0),0)</x:f>
      </x:c>
      <x:c r="T46" s="1114" t="str" cm="1">
        <x:f t="array" ref="T46">IFERROR(_xlfn.XLOOKUP(T$27,Pivot!$B$2:$EU$2,_xlfn.XLOOKUP($A46,Pivot!$A$11:$A$35,Pivot!$B$11:$EU$35),0,0),0)</x:f>
      </x:c>
      <x:c r="U46" s="1114" t="str" cm="1">
        <x:f t="array" ref="U46">IFERROR(_xlfn.XLOOKUP(U$27,Pivot!$B$2:$EU$2,_xlfn.XLOOKUP($A46,Pivot!$A$11:$A$35,Pivot!$B$11:$EU$35),0,0),0)</x:f>
      </x:c>
      <x:c r="V46" s="1114" t="str" cm="1">
        <x:f t="array" ref="V46">IFERROR(_xlfn.XLOOKUP(V$27,Pivot!$B$2:$EU$2,_xlfn.XLOOKUP($A46,Pivot!$A$11:$A$35,Pivot!$B$11:$EU$35),0,0),0)</x:f>
      </x:c>
      <x:c r="W46" s="447" t="str" cm="1">
        <x:f t="array" ref="W46">IFERROR(_xlfn.XLOOKUP(W$27,Pivot!$B$2:$EU$2,_xlfn.XLOOKUP($A46,Pivot!$A$11:$A$35,Pivot!$B$11:$EU$35),0,0),0)</x:f>
      </x:c>
      <x:c r="X46" s="812" t="n" cm="1">
        <x:f t="array" ref="X46">IFERROR(_xlfn.XLOOKUP(X$27,Pivot!$B$2:$EU$2,_xlfn.XLOOKUP($A46,Pivot!$A$11:$A$35,Pivot!$B$11:$EU$35),0,0),0)</x:f>
        <x:v>60</x:v>
      </x:c>
      <x:c r="Y46" s="443" t="n" cm="1">
        <x:f t="array" ref="Y46">IFERROR(_xlfn.XLOOKUP(Y$27,Pivot!$B$2:$EU$2,_xlfn.XLOOKUP($A46,Pivot!$A$11:$A$35,Pivot!$B$11:$EU$35),0,0),0)</x:f>
        <x:v>0</x:v>
      </x:c>
      <x:c r="Z46" s="443" t="str" cm="1">
        <x:f t="array" ref="Z46">IFERROR(_xlfn.XLOOKUP(Z$27,Pivot!$B$2:$EU$2,_xlfn.XLOOKUP($A46,Pivot!$A$11:$A$35,Pivot!$B$11:$EU$35),0,0),0)</x:f>
      </x:c>
      <x:c r="AA46" s="443" t="n" cm="1">
        <x:f t="array" ref="AA46">IFERROR(_xlfn.XLOOKUP(AA$27,Pivot!$B$2:$EU$2,_xlfn.XLOOKUP($A46,Pivot!$A$11:$A$35,Pivot!$B$11:$EU$35),0,0),0)</x:f>
        <x:v>0</x:v>
      </x:c>
      <x:c r="AB46" s="443" t="str" cm="1">
        <x:f t="array" ref="AB46">IFERROR(_xlfn.XLOOKUP(AB$27,Pivot!$B$2:$EU$2,_xlfn.XLOOKUP($A46,Pivot!$A$11:$A$35,Pivot!$B$11:$EU$35),0,0),0)</x:f>
      </x:c>
      <x:c r="AC46" s="383"/>
      <x:c r="AD46" s="383"/>
      <x:c r="AE46" s="383"/>
      <x:c r="AF46" s="383"/>
      <x:c r="AG46" s="383"/>
      <x:c r="AH46" s="383"/>
      <x:c r="AI46" s="383"/>
      <x:c r="AJ46" s="383"/>
      <x:c r="AK46" s="383"/>
      <x:c r="AL46" s="383"/>
      <x:c r="AM46" s="383"/>
      <x:c r="AN46" s="383"/>
      <x:c r="AO46" s="383"/>
      <x:c r="AP46" s="383"/>
      <x:c r="AQ46" s="383"/>
      <x:c r="AR46" s="383"/>
      <x:c r="AS46" s="383"/>
    </x:row>
    <x:row r="47" ht="22" customHeight="1">
      <x:c r="A47" s="1178" t="s">
        <x:v>159</x:v>
      </x:c>
      <x:c r="B47" s="1179" t="s">
        <x:v>21</x:v>
      </x:c>
      <x:c r="C47" s="1180" t="n" cm="1">
        <x:f t="array" ref="C47">IFERROR(_xlfn.XLOOKUP(C$27,Pivot!$B$2:$EU$2,_xlfn.XLOOKUP($A47,Pivot!$A$11:$A$35,Pivot!$B$11:$EU$35),0,0),0)</x:f>
        <x:v>6</x:v>
      </x:c>
      <x:c r="D47" s="1180" t="n" cm="1">
        <x:f t="array" ref="D47">IFERROR(_xlfn.XLOOKUP(D$27,Pivot!$B$2:$EU$2,_xlfn.XLOOKUP($A47,Pivot!$A$11:$A$35,Pivot!$B$11:$EU$35),0,0),0)</x:f>
        <x:v>82</x:v>
      </x:c>
      <x:c r="E47" s="1180" t="n" cm="1">
        <x:f t="array" ref="E47">IFERROR(_xlfn.XLOOKUP(E$27,Pivot!$B$2:$EU$2,_xlfn.XLOOKUP($A47,Pivot!$A$11:$A$35,Pivot!$B$11:$EU$35),0,0),0)</x:f>
        <x:v>4</x:v>
      </x:c>
      <x:c r="F47" s="1180" t="n" cm="1">
        <x:f t="array" ref="F47">IFERROR(_xlfn.XLOOKUP(F$27,Pivot!$B$2:$EU$2,_xlfn.XLOOKUP($A47,Pivot!$A$11:$A$35,Pivot!$B$11:$EU$35),0,0),0)</x:f>
        <x:v>18</x:v>
      </x:c>
      <x:c r="G47" s="1180" t="n" cm="1">
        <x:f t="array" ref="G47">IFERROR(_xlfn.XLOOKUP(G$27,Pivot!$B$2:$EU$2,_xlfn.XLOOKUP($A47,Pivot!$A$11:$A$35,Pivot!$B$11:$EU$35),0,0),0)</x:f>
        <x:v>32</x:v>
      </x:c>
      <x:c r="H47" s="1180" t="n" cm="1">
        <x:f t="array" ref="H47">IFERROR(_xlfn.XLOOKUP(H$27,Pivot!$B$2:$EU$2,_xlfn.XLOOKUP($A47,Pivot!$A$11:$A$35,Pivot!$B$11:$EU$35),0,0),0)</x:f>
        <x:v>171</x:v>
      </x:c>
      <x:c r="I47" s="1180" t="n" cm="1">
        <x:f t="array" ref="I47">IFERROR(_xlfn.XLOOKUP(I$27,Pivot!$B$2:$EU$2,_xlfn.XLOOKUP($A47,Pivot!$A$11:$A$35,Pivot!$B$11:$EU$35),0,0),0)</x:f>
        <x:v>20</x:v>
      </x:c>
      <x:c r="J47" s="1180" t="n" cm="1">
        <x:f t="array" ref="J47">IFERROR(_xlfn.XLOOKUP(J$27,Pivot!$B$2:$EU$2,_xlfn.XLOOKUP($A47,Pivot!$A$11:$A$35,Pivot!$B$11:$EU$35),0,0),0)</x:f>
        <x:v>49</x:v>
      </x:c>
      <x:c r="K47" s="1180" t="n" cm="1">
        <x:f t="array" ref="K47">IFERROR(_xlfn.XLOOKUP(K$27,Pivot!$B$2:$EU$2,_xlfn.XLOOKUP($A47,Pivot!$A$11:$A$35,Pivot!$B$11:$EU$35),0,0),0)</x:f>
        <x:v>21</x:v>
      </x:c>
      <x:c r="L47" s="1180" t="n" cm="1">
        <x:f t="array" ref="L47">IFERROR(_xlfn.XLOOKUP(L$27,Pivot!$B$2:$EU$2,_xlfn.XLOOKUP($A47,Pivot!$A$11:$A$35,Pivot!$B$11:$EU$35),0,0),0)</x:f>
        <x:v>91</x:v>
      </x:c>
      <x:c r="M47" s="1180" t="n" cm="1">
        <x:f t="array" ref="M47">IFERROR(_xlfn.XLOOKUP(M$27,Pivot!$B$2:$EU$2,_xlfn.XLOOKUP($A47,Pivot!$A$11:$A$35,Pivot!$B$11:$EU$35),0,0),0)</x:f>
        <x:v>4</x:v>
      </x:c>
      <x:c r="N47" s="1180" t="n" cm="1">
        <x:f t="array" ref="N47">IFERROR(_xlfn.XLOOKUP(N$27,Pivot!$B$2:$EU$2,_xlfn.XLOOKUP($A47,Pivot!$A$11:$A$35,Pivot!$B$11:$EU$35),0,0),0)</x:f>
        <x:v>1</x:v>
      </x:c>
      <x:c r="O47" s="1180" t="str" cm="1">
        <x:f t="array" ref="O47">IFERROR(_xlfn.XLOOKUP(O$27,Pivot!$B$2:$EU$2,_xlfn.XLOOKUP($A47,Pivot!$A$11:$A$35,Pivot!$B$11:$EU$35),0,0),0)</x:f>
      </x:c>
      <x:c r="P47" s="1180" t="str" cm="1">
        <x:f t="array" ref="P47">IFERROR(_xlfn.XLOOKUP(P$27,Pivot!$B$2:$EU$2,_xlfn.XLOOKUP($A47,Pivot!$A$11:$A$35,Pivot!$B$11:$EU$35),0,0),0)</x:f>
      </x:c>
      <x:c r="Q47" s="1180" t="n" cm="1">
        <x:f t="array" ref="Q47">IFERROR(_xlfn.XLOOKUP(Q$27,Pivot!$B$2:$EU$2,_xlfn.XLOOKUP($A47,Pivot!$A$11:$A$35,Pivot!$B$11:$EU$35),0,0),0)</x:f>
        <x:v>0</x:v>
      </x:c>
      <x:c r="R47" s="1180" t="n" cm="1">
        <x:f t="array" ref="R47">IFERROR(_xlfn.XLOOKUP(R$27,Pivot!$B$2:$EU$2,_xlfn.XLOOKUP($A47,Pivot!$A$11:$A$35,Pivot!$B$11:$EU$35),0,0),0)</x:f>
        <x:v>0</x:v>
      </x:c>
      <x:c r="S47" s="1180" t="str" cm="1">
        <x:f t="array" ref="S47">IFERROR(_xlfn.XLOOKUP(S$27,Pivot!$B$2:$EU$2,_xlfn.XLOOKUP($A47,Pivot!$A$11:$A$35,Pivot!$B$11:$EU$35),0,0),0)</x:f>
      </x:c>
      <x:c r="T47" s="1180" t="str" cm="1">
        <x:f t="array" ref="T47">IFERROR(_xlfn.XLOOKUP(T$27,Pivot!$B$2:$EU$2,_xlfn.XLOOKUP($A47,Pivot!$A$11:$A$35,Pivot!$B$11:$EU$35),0,0),0)</x:f>
      </x:c>
      <x:c r="U47" s="1180" t="str" cm="1">
        <x:f t="array" ref="U47">IFERROR(_xlfn.XLOOKUP(U$27,Pivot!$B$2:$EU$2,_xlfn.XLOOKUP($A47,Pivot!$A$11:$A$35,Pivot!$B$11:$EU$35),0,0),0)</x:f>
      </x:c>
      <x:c r="V47" s="1180" t="str" cm="1">
        <x:f t="array" ref="V47">IFERROR(_xlfn.XLOOKUP(V$27,Pivot!$B$2:$EU$2,_xlfn.XLOOKUP($A47,Pivot!$A$11:$A$35,Pivot!$B$11:$EU$35),0,0),0)</x:f>
      </x:c>
      <x:c r="W47" s="469" t="str" cm="1">
        <x:f t="array" ref="W47">IFERROR(_xlfn.XLOOKUP(W$27,Pivot!$B$2:$EU$2,_xlfn.XLOOKUP($A47,Pivot!$A$11:$A$35,Pivot!$B$11:$EU$35),0,0),0)</x:f>
      </x:c>
      <x:c r="X47" s="903" t="str" cm="1">
        <x:f t="array" ref="X47">IFERROR(_xlfn.XLOOKUP(X$27,Pivot!$B$2:$EU$2,_xlfn.XLOOKUP($A47,Pivot!$A$11:$A$35,Pivot!$B$11:$EU$35),0,0),0)</x:f>
      </x:c>
      <x:c r="Y47" s="472" t="n" cm="1">
        <x:f t="array" ref="Y47">IFERROR(_xlfn.XLOOKUP(Y$27,Pivot!$B$2:$EU$2,_xlfn.XLOOKUP($A47,Pivot!$A$11:$A$35,Pivot!$B$11:$EU$35),0,0),0)</x:f>
        <x:v>0</x:v>
      </x:c>
      <x:c r="Z47" s="472" t="str" cm="1">
        <x:f t="array" ref="Z47">IFERROR(_xlfn.XLOOKUP(Z$27,Pivot!$B$2:$EU$2,_xlfn.XLOOKUP($A47,Pivot!$A$11:$A$35,Pivot!$B$11:$EU$35),0,0),0)</x:f>
      </x:c>
      <x:c r="AA47" s="472" t="n" cm="1">
        <x:f t="array" ref="AA47">IFERROR(_xlfn.XLOOKUP(AA$27,Pivot!$B$2:$EU$2,_xlfn.XLOOKUP($A47,Pivot!$A$11:$A$35,Pivot!$B$11:$EU$35),0,0),0)</x:f>
        <x:v>0</x:v>
      </x:c>
      <x:c r="AB47" s="472" t="str" cm="1">
        <x:f t="array" ref="AB47">IFERROR(_xlfn.XLOOKUP(AB$27,Pivot!$B$2:$EU$2,_xlfn.XLOOKUP($A47,Pivot!$A$11:$A$35,Pivot!$B$11:$EU$35),0,0),0)</x:f>
      </x:c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  <x:c r="AM47" s="415"/>
      <x:c r="AN47" s="415"/>
      <x:c r="AO47" s="415"/>
      <x:c r="AP47" s="415"/>
      <x:c r="AQ47" s="415"/>
      <x:c r="AR47" s="415"/>
      <x:c r="AS47" s="415"/>
    </x:row>
    <x:row r="48" ht="22" customHeight="1">
      <x:c r="A48" s="1112" t="s">
        <x:v>174</x:v>
      </x:c>
      <x:c r="B48" s="1113" t="s">
        <x:v>49</x:v>
      </x:c>
      <x:c r="C48" s="1114" t="n" cm="1">
        <x:f t="array" ref="C48">IFERROR(_xlfn.XLOOKUP(C$27,Pivot!$B$2:$EU$2,_xlfn.XLOOKUP($A48,Pivot!$A$11:$A$35,Pivot!$B$11:$EU$35),0,0),0)</x:f>
        <x:v>230</x:v>
      </x:c>
      <x:c r="D48" s="1114" t="n" cm="1">
        <x:f t="array" ref="D48">IFERROR(_xlfn.XLOOKUP(D$27,Pivot!$B$2:$EU$2,_xlfn.XLOOKUP($A48,Pivot!$A$11:$A$35,Pivot!$B$11:$EU$35),0,0),0)</x:f>
        <x:v>1020</x:v>
      </x:c>
      <x:c r="E48" s="1114" t="n" cm="1">
        <x:f t="array" ref="E48">IFERROR(_xlfn.XLOOKUP(E$27,Pivot!$B$2:$EU$2,_xlfn.XLOOKUP($A48,Pivot!$A$11:$A$35,Pivot!$B$11:$EU$35),0,0),0)</x:f>
        <x:v>24</x:v>
      </x:c>
      <x:c r="F48" s="1114" t="n" cm="1">
        <x:f t="array" ref="F48">IFERROR(_xlfn.XLOOKUP(F$27,Pivot!$B$2:$EU$2,_xlfn.XLOOKUP($A48,Pivot!$A$11:$A$35,Pivot!$B$11:$EU$35),0,0),0)</x:f>
        <x:v>78</x:v>
      </x:c>
      <x:c r="G48" s="1114" t="n" cm="1">
        <x:f t="array" ref="G48">IFERROR(_xlfn.XLOOKUP(G$27,Pivot!$B$2:$EU$2,_xlfn.XLOOKUP($A48,Pivot!$A$11:$A$35,Pivot!$B$11:$EU$35),0,0),0)</x:f>
        <x:v>112</x:v>
      </x:c>
      <x:c r="H48" s="1114" t="n" cm="1">
        <x:f t="array" ref="H48">IFERROR(_xlfn.XLOOKUP(H$27,Pivot!$B$2:$EU$2,_xlfn.XLOOKUP($A48,Pivot!$A$11:$A$35,Pivot!$B$11:$EU$35),0,0),0)</x:f>
        <x:v>84</x:v>
      </x:c>
      <x:c r="I48" s="1114" t="n" cm="1">
        <x:f t="array" ref="I48">IFERROR(_xlfn.XLOOKUP(I$27,Pivot!$B$2:$EU$2,_xlfn.XLOOKUP($A48,Pivot!$A$11:$A$35,Pivot!$B$11:$EU$35),0,0),0)</x:f>
        <x:v>30</x:v>
      </x:c>
      <x:c r="J48" s="1114" t="n" cm="1">
        <x:f t="array" ref="J48">IFERROR(_xlfn.XLOOKUP(J$27,Pivot!$B$2:$EU$2,_xlfn.XLOOKUP($A48,Pivot!$A$11:$A$35,Pivot!$B$11:$EU$35),0,0),0)</x:f>
        <x:v>50</x:v>
      </x:c>
      <x:c r="K48" s="1114" t="n" cm="1">
        <x:f t="array" ref="K48">IFERROR(_xlfn.XLOOKUP(K$27,Pivot!$B$2:$EU$2,_xlfn.XLOOKUP($A48,Pivot!$A$11:$A$35,Pivot!$B$11:$EU$35),0,0),0)</x:f>
        <x:v>231</x:v>
      </x:c>
      <x:c r="L48" s="1114" t="n" cm="1">
        <x:f t="array" ref="L48">IFERROR(_xlfn.XLOOKUP(L$27,Pivot!$B$2:$EU$2,_xlfn.XLOOKUP($A48,Pivot!$A$11:$A$35,Pivot!$B$11:$EU$35),0,0),0)</x:f>
        <x:v>533</x:v>
      </x:c>
      <x:c r="M48" s="1114" t="n" cm="1">
        <x:f t="array" ref="M48">IFERROR(_xlfn.XLOOKUP(M$27,Pivot!$B$2:$EU$2,_xlfn.XLOOKUP($A48,Pivot!$A$11:$A$35,Pivot!$B$11:$EU$35),0,0),0)</x:f>
        <x:v>7</x:v>
      </x:c>
      <x:c r="N48" s="1114" t="n" cm="1">
        <x:f t="array" ref="N48">IFERROR(_xlfn.XLOOKUP(N$27,Pivot!$B$2:$EU$2,_xlfn.XLOOKUP($A48,Pivot!$A$11:$A$35,Pivot!$B$11:$EU$35),0,0),0)</x:f>
        <x:v>28</x:v>
      </x:c>
      <x:c r="O48" s="1114" t="n" cm="1">
        <x:f t="array" ref="O48">IFERROR(_xlfn.XLOOKUP(O$27,Pivot!$B$2:$EU$2,_xlfn.XLOOKUP($A48,Pivot!$A$11:$A$35,Pivot!$B$11:$EU$35),0,0),0)</x:f>
        <x:v>14</x:v>
      </x:c>
      <x:c r="P48" s="1114" t="n" cm="1">
        <x:f t="array" ref="P48">IFERROR(_xlfn.XLOOKUP(P$27,Pivot!$B$2:$EU$2,_xlfn.XLOOKUP($A48,Pivot!$A$11:$A$35,Pivot!$B$11:$EU$35),0,0),0)</x:f>
        <x:v>45</x:v>
      </x:c>
      <x:c r="Q48" s="1114" t="n" cm="1">
        <x:f t="array" ref="Q48">IFERROR(_xlfn.XLOOKUP(Q$27,Pivot!$B$2:$EU$2,_xlfn.XLOOKUP($A48,Pivot!$A$11:$A$35,Pivot!$B$11:$EU$35),0,0),0)</x:f>
        <x:v>0</x:v>
      </x:c>
      <x:c r="R48" s="1114" t="n" cm="1">
        <x:f t="array" ref="R48">IFERROR(_xlfn.XLOOKUP(R$27,Pivot!$B$2:$EU$2,_xlfn.XLOOKUP($A48,Pivot!$A$11:$A$35,Pivot!$B$11:$EU$35),0,0),0)</x:f>
        <x:v>0</x:v>
      </x:c>
      <x:c r="S48" s="1114" t="str" cm="1">
        <x:f t="array" ref="S48">IFERROR(_xlfn.XLOOKUP(S$27,Pivot!$B$2:$EU$2,_xlfn.XLOOKUP($A48,Pivot!$A$11:$A$35,Pivot!$B$11:$EU$35),0,0),0)</x:f>
      </x:c>
      <x:c r="T48" s="1114" t="str" cm="1">
        <x:f t="array" ref="T48">IFERROR(_xlfn.XLOOKUP(T$27,Pivot!$B$2:$EU$2,_xlfn.XLOOKUP($A48,Pivot!$A$11:$A$35,Pivot!$B$11:$EU$35),0,0),0)</x:f>
      </x:c>
      <x:c r="U48" s="1114" t="str" cm="1">
        <x:f t="array" ref="U48">IFERROR(_xlfn.XLOOKUP(U$27,Pivot!$B$2:$EU$2,_xlfn.XLOOKUP($A48,Pivot!$A$11:$A$35,Pivot!$B$11:$EU$35),0,0),0)</x:f>
      </x:c>
      <x:c r="V48" s="1114" t="str" cm="1">
        <x:f t="array" ref="V48">IFERROR(_xlfn.XLOOKUP(V$27,Pivot!$B$2:$EU$2,_xlfn.XLOOKUP($A48,Pivot!$A$11:$A$35,Pivot!$B$11:$EU$35),0,0),0)</x:f>
      </x:c>
      <x:c r="W48" s="447" t="str" cm="1">
        <x:f t="array" ref="W48">IFERROR(_xlfn.XLOOKUP(W$27,Pivot!$B$2:$EU$2,_xlfn.XLOOKUP($A48,Pivot!$A$11:$A$35,Pivot!$B$11:$EU$35),0,0),0)</x:f>
      </x:c>
      <x:c r="X48" s="812" t="str" cm="1">
        <x:f t="array" ref="X48">IFERROR(_xlfn.XLOOKUP(X$27,Pivot!$B$2:$EU$2,_xlfn.XLOOKUP($A48,Pivot!$A$11:$A$35,Pivot!$B$11:$EU$35),0,0),0)</x:f>
      </x:c>
      <x:c r="Y48" s="443" t="n" cm="1">
        <x:f t="array" ref="Y48">IFERROR(_xlfn.XLOOKUP(Y$27,Pivot!$B$2:$EU$2,_xlfn.XLOOKUP($A48,Pivot!$A$11:$A$35,Pivot!$B$11:$EU$35),0,0),0)</x:f>
        <x:v>0</x:v>
      </x:c>
      <x:c r="Z48" s="443" t="str" cm="1">
        <x:f t="array" ref="Z48">IFERROR(_xlfn.XLOOKUP(Z$27,Pivot!$B$2:$EU$2,_xlfn.XLOOKUP($A48,Pivot!$A$11:$A$35,Pivot!$B$11:$EU$35),0,0),0)</x:f>
      </x:c>
      <x:c r="AA48" s="443" t="n" cm="1">
        <x:f t="array" ref="AA48">IFERROR(_xlfn.XLOOKUP(AA$27,Pivot!$B$2:$EU$2,_xlfn.XLOOKUP($A48,Pivot!$A$11:$A$35,Pivot!$B$11:$EU$35),0,0),0)</x:f>
        <x:v>0</x:v>
      </x:c>
      <x:c r="AB48" s="443" t="str" cm="1">
        <x:f t="array" ref="AB48">IFERROR(_xlfn.XLOOKUP(AB$27,Pivot!$B$2:$EU$2,_xlfn.XLOOKUP($A48,Pivot!$A$11:$A$35,Pivot!$B$11:$EU$35),0,0),0)</x:f>
      </x:c>
      <x:c r="AC48" s="383"/>
      <x:c r="AD48" s="383"/>
      <x:c r="AE48" s="383"/>
      <x:c r="AF48" s="383"/>
      <x:c r="AG48" s="383"/>
      <x:c r="AH48" s="383"/>
      <x:c r="AI48" s="383"/>
      <x:c r="AJ48" s="383"/>
      <x:c r="AK48" s="383"/>
      <x:c r="AL48" s="383"/>
      <x:c r="AM48" s="383"/>
      <x:c r="AN48" s="383"/>
      <x:c r="AO48" s="383"/>
      <x:c r="AP48" s="383"/>
      <x:c r="AQ48" s="383"/>
      <x:c r="AR48" s="383"/>
      <x:c r="AS48" s="383"/>
    </x:row>
    <x:row r="49" ht="22" customHeight="1">
      <x:c r="A49" s="1178" t="s">
        <x:v>166</x:v>
      </x:c>
      <x:c r="B49" s="1179" t="s">
        <x:v>33</x:v>
      </x:c>
      <x:c r="C49" s="1180" t="n" cm="1">
        <x:f t="array" ref="C49">IFERROR(_xlfn.XLOOKUP(C$27,Pivot!$B$2:$EU$2,_xlfn.XLOOKUP($A49,Pivot!$A$11:$A$35,Pivot!$B$11:$EU$35),0,0),0)</x:f>
        <x:v>56</x:v>
      </x:c>
      <x:c r="D49" s="1180" t="n" cm="1">
        <x:f t="array" ref="D49">IFERROR(_xlfn.XLOOKUP(D$27,Pivot!$B$2:$EU$2,_xlfn.XLOOKUP($A49,Pivot!$A$11:$A$35,Pivot!$B$11:$EU$35),0,0),0)</x:f>
        <x:v>454</x:v>
      </x:c>
      <x:c r="E49" s="1180" t="str" cm="1">
        <x:f t="array" ref="E49">IFERROR(_xlfn.XLOOKUP(E$27,Pivot!$B$2:$EU$2,_xlfn.XLOOKUP($A49,Pivot!$A$11:$A$35,Pivot!$B$11:$EU$35),0,0),0)</x:f>
      </x:c>
      <x:c r="F49" s="1180" t="n" cm="1">
        <x:f t="array" ref="F49">IFERROR(_xlfn.XLOOKUP(F$27,Pivot!$B$2:$EU$2,_xlfn.XLOOKUP($A49,Pivot!$A$11:$A$35,Pivot!$B$11:$EU$35),0,0),0)</x:f>
        <x:v>46</x:v>
      </x:c>
      <x:c r="G49" s="1180" t="n" cm="1">
        <x:f t="array" ref="G49">IFERROR(_xlfn.XLOOKUP(G$27,Pivot!$B$2:$EU$2,_xlfn.XLOOKUP($A49,Pivot!$A$11:$A$35,Pivot!$B$11:$EU$35),0,0),0)</x:f>
        <x:v>6</x:v>
      </x:c>
      <x:c r="H49" s="1180" t="n" cm="1">
        <x:f t="array" ref="H49">IFERROR(_xlfn.XLOOKUP(H$27,Pivot!$B$2:$EU$2,_xlfn.XLOOKUP($A49,Pivot!$A$11:$A$35,Pivot!$B$11:$EU$35),0,0),0)</x:f>
        <x:v>28</x:v>
      </x:c>
      <x:c r="I49" s="1180" t="n" cm="1">
        <x:f t="array" ref="I49">IFERROR(_xlfn.XLOOKUP(I$27,Pivot!$B$2:$EU$2,_xlfn.XLOOKUP($A49,Pivot!$A$11:$A$35,Pivot!$B$11:$EU$35),0,0),0)</x:f>
        <x:v>10</x:v>
      </x:c>
      <x:c r="J49" s="1180" t="n" cm="1">
        <x:f t="array" ref="J49">IFERROR(_xlfn.XLOOKUP(J$27,Pivot!$B$2:$EU$2,_xlfn.XLOOKUP($A49,Pivot!$A$11:$A$35,Pivot!$B$11:$EU$35),0,0),0)</x:f>
        <x:v>8</x:v>
      </x:c>
      <x:c r="K49" s="1180" t="n" cm="1">
        <x:f t="array" ref="K49">IFERROR(_xlfn.XLOOKUP(K$27,Pivot!$B$2:$EU$2,_xlfn.XLOOKUP($A49,Pivot!$A$11:$A$35,Pivot!$B$11:$EU$35),0,0),0)</x:f>
        <x:v>364</x:v>
      </x:c>
      <x:c r="L49" s="1180" t="n" cm="1">
        <x:f t="array" ref="L49">IFERROR(_xlfn.XLOOKUP(L$27,Pivot!$B$2:$EU$2,_xlfn.XLOOKUP($A49,Pivot!$A$11:$A$35,Pivot!$B$11:$EU$35),0,0),0)</x:f>
        <x:v>809</x:v>
      </x:c>
      <x:c r="M49" s="1180" t="n" cm="1">
        <x:f t="array" ref="M49">IFERROR(_xlfn.XLOOKUP(M$27,Pivot!$B$2:$EU$2,_xlfn.XLOOKUP($A49,Pivot!$A$11:$A$35,Pivot!$B$11:$EU$35),0,0),0)</x:f>
        <x:v>11</x:v>
      </x:c>
      <x:c r="N49" s="1180" t="n" cm="1">
        <x:f t="array" ref="N49">IFERROR(_xlfn.XLOOKUP(N$27,Pivot!$B$2:$EU$2,_xlfn.XLOOKUP($A49,Pivot!$A$11:$A$35,Pivot!$B$11:$EU$35),0,0),0)</x:f>
        <x:v>49</x:v>
      </x:c>
      <x:c r="O49" s="1180" t="str" cm="1">
        <x:f t="array" ref="O49">IFERROR(_xlfn.XLOOKUP(O$27,Pivot!$B$2:$EU$2,_xlfn.XLOOKUP($A49,Pivot!$A$11:$A$35,Pivot!$B$11:$EU$35),0,0),0)</x:f>
      </x:c>
      <x:c r="P49" s="1180" t="n" cm="1">
        <x:f t="array" ref="P49">IFERROR(_xlfn.XLOOKUP(P$27,Pivot!$B$2:$EU$2,_xlfn.XLOOKUP($A49,Pivot!$A$11:$A$35,Pivot!$B$11:$EU$35),0,0),0)</x:f>
        <x:v>20</x:v>
      </x:c>
      <x:c r="Q49" s="1180" t="n" cm="1">
        <x:f t="array" ref="Q49">IFERROR(_xlfn.XLOOKUP(Q$27,Pivot!$B$2:$EU$2,_xlfn.XLOOKUP($A49,Pivot!$A$11:$A$35,Pivot!$B$11:$EU$35),0,0),0)</x:f>
        <x:v>0</x:v>
      </x:c>
      <x:c r="R49" s="1180" t="n" cm="1">
        <x:f t="array" ref="R49">IFERROR(_xlfn.XLOOKUP(R$27,Pivot!$B$2:$EU$2,_xlfn.XLOOKUP($A49,Pivot!$A$11:$A$35,Pivot!$B$11:$EU$35),0,0),0)</x:f>
        <x:v>0</x:v>
      </x:c>
      <x:c r="S49" s="1180" t="str" cm="1">
        <x:f t="array" ref="S49">IFERROR(_xlfn.XLOOKUP(S$27,Pivot!$B$2:$EU$2,_xlfn.XLOOKUP($A49,Pivot!$A$11:$A$35,Pivot!$B$11:$EU$35),0,0),0)</x:f>
      </x:c>
      <x:c r="T49" s="1180" t="str" cm="1">
        <x:f t="array" ref="T49">IFERROR(_xlfn.XLOOKUP(T$27,Pivot!$B$2:$EU$2,_xlfn.XLOOKUP($A49,Pivot!$A$11:$A$35,Pivot!$B$11:$EU$35),0,0),0)</x:f>
      </x:c>
      <x:c r="U49" s="1180" t="n" cm="1">
        <x:f t="array" ref="U49">IFERROR(_xlfn.XLOOKUP(U$27,Pivot!$B$2:$EU$2,_xlfn.XLOOKUP($A49,Pivot!$A$11:$A$35,Pivot!$B$11:$EU$35),0,0),0)</x:f>
        <x:v>300</x:v>
      </x:c>
      <x:c r="V49" s="1180" t="str" cm="1">
        <x:f t="array" ref="V49">IFERROR(_xlfn.XLOOKUP(V$27,Pivot!$B$2:$EU$2,_xlfn.XLOOKUP($A49,Pivot!$A$11:$A$35,Pivot!$B$11:$EU$35),0,0),0)</x:f>
      </x:c>
      <x:c r="W49" s="469" t="str" cm="1">
        <x:f t="array" ref="W49">IFERROR(_xlfn.XLOOKUP(W$27,Pivot!$B$2:$EU$2,_xlfn.XLOOKUP($A49,Pivot!$A$11:$A$35,Pivot!$B$11:$EU$35),0,0),0)</x:f>
      </x:c>
      <x:c r="X49" s="903" t="str" cm="1">
        <x:f t="array" ref="X49">IFERROR(_xlfn.XLOOKUP(X$27,Pivot!$B$2:$EU$2,_xlfn.XLOOKUP($A49,Pivot!$A$11:$A$35,Pivot!$B$11:$EU$35),0,0),0)</x:f>
      </x:c>
      <x:c r="Y49" s="472" t="n" cm="1">
        <x:f t="array" ref="Y49">IFERROR(_xlfn.XLOOKUP(Y$27,Pivot!$B$2:$EU$2,_xlfn.XLOOKUP($A49,Pivot!$A$11:$A$35,Pivot!$B$11:$EU$35),0,0),0)</x:f>
        <x:v>0</x:v>
      </x:c>
      <x:c r="Z49" s="472" t="str" cm="1">
        <x:f t="array" ref="Z49">IFERROR(_xlfn.XLOOKUP(Z$27,Pivot!$B$2:$EU$2,_xlfn.XLOOKUP($A49,Pivot!$A$11:$A$35,Pivot!$B$11:$EU$35),0,0),0)</x:f>
      </x:c>
      <x:c r="AA49" s="472" t="n" cm="1">
        <x:f t="array" ref="AA49">IFERROR(_xlfn.XLOOKUP(AA$27,Pivot!$B$2:$EU$2,_xlfn.XLOOKUP($A49,Pivot!$A$11:$A$35,Pivot!$B$11:$EU$35),0,0),0)</x:f>
        <x:v>0</x:v>
      </x:c>
      <x:c r="AB49" s="472" t="str" cm="1">
        <x:f t="array" ref="AB49">IFERROR(_xlfn.XLOOKUP(AB$27,Pivot!$B$2:$EU$2,_xlfn.XLOOKUP($A49,Pivot!$A$11:$A$35,Pivot!$B$11:$EU$35),0,0),0)</x:f>
      </x:c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  <x:c r="AM49" s="415"/>
      <x:c r="AN49" s="415"/>
      <x:c r="AO49" s="415"/>
      <x:c r="AP49" s="415"/>
      <x:c r="AQ49" s="415"/>
      <x:c r="AR49" s="415"/>
      <x:c r="AS49" s="415"/>
    </x:row>
    <x:row r="50" ht="22" customHeight="1">
      <x:c r="A50" s="480"/>
      <x:c r="B50" s="1116" t="s">
        <x:v>177</x:v>
      </x:c>
      <x:c r="C50" s="1117" t="n">
        <x:f t="shared" ref="C50:AB50" si="29">SUM(C30:C49)</x:f>
        <x:v>969</x:v>
      </x:c>
      <x:c r="D50" s="1118">
        <x:f t="shared" si="29"/>
        <x:v>4326</x:v>
      </x:c>
      <x:c r="E50" s="1117">
        <x:f t="shared" si="29"/>
        <x:v>614</x:v>
      </x:c>
      <x:c r="F50" s="1119">
        <x:f t="shared" si="29"/>
        <x:v>2723</x:v>
      </x:c>
      <x:c r="G50" s="1117">
        <x:f t="shared" si="29"/>
        <x:v>559</x:v>
      </x:c>
      <x:c r="H50" s="1119">
        <x:f t="shared" si="29"/>
        <x:v>2108</x:v>
      </x:c>
      <x:c r="I50" s="1117">
        <x:f t="shared" si="29"/>
        <x:v>232</x:v>
      </x:c>
      <x:c r="J50" s="1119">
        <x:f t="shared" si="29"/>
        <x:v>850</x:v>
      </x:c>
      <x:c r="K50" s="1117">
        <x:f t="shared" si="29"/>
        <x:v>2466</x:v>
      </x:c>
      <x:c r="L50" s="1119">
        <x:f t="shared" si="29"/>
        <x:v>5776</x:v>
      </x:c>
      <x:c r="M50" s="1117">
        <x:f t="shared" si="29"/>
        <x:v>63</x:v>
      </x:c>
      <x:c r="N50" s="1119">
        <x:f t="shared" si="29"/>
        <x:v>198</x:v>
      </x:c>
      <x:c r="O50" s="1117">
        <x:f t="shared" si="29"/>
        <x:v>19</x:v>
      </x:c>
      <x:c r="P50" s="1119">
        <x:f t="shared" si="29"/>
        <x:v>145</x:v>
      </x:c>
      <x:c r="Q50" s="1117">
        <x:f t="shared" si="29"/>
        <x:v>0</x:v>
      </x:c>
      <x:c r="R50" s="1119">
        <x:f t="shared" si="29"/>
        <x:v>0</x:v>
      </x:c>
      <x:c r="S50" s="1119">
        <x:f t="shared" si="29"/>
        <x:v>12</x:v>
      </x:c>
      <x:c r="T50" s="1119">
        <x:f t="shared" si="29"/>
        <x:v>72</x:v>
      </x:c>
      <x:c r="U50" s="1119">
        <x:f t="shared" si="29"/>
        <x:v>530</x:v>
      </x:c>
      <x:c r="V50" s="1119">
        <x:f t="shared" si="29"/>
        <x:v>20</x:v>
      </x:c>
      <x:c r="W50" s="447">
        <x:f t="shared" si="29"/>
        <x:v>30</x:v>
      </x:c>
      <x:c r="X50" s="443">
        <x:f t="shared" si="29"/>
        <x:v>90</x:v>
      </x:c>
      <x:c r="Y50" s="443">
        <x:f t="shared" si="29"/>
        <x:v>0</x:v>
      </x:c>
      <x:c r="Z50" s="443">
        <x:f t="shared" si="29"/>
        <x:v>2</x:v>
      </x:c>
      <x:c r="AA50" s="443">
        <x:f t="shared" si="29"/>
        <x:v>0</x:v>
      </x:c>
      <x:c r="AB50" s="443">
        <x:f t="shared" si="29"/>
        <x:v>1</x:v>
      </x:c>
      <x:c r="AC50" s="383"/>
      <x:c r="AD50" s="383"/>
      <x:c r="AE50" s="383"/>
      <x:c r="AF50" s="383"/>
      <x:c r="AG50" s="383"/>
      <x:c r="AH50" s="383"/>
      <x:c r="AI50" s="383"/>
      <x:c r="AJ50" s="383"/>
      <x:c r="AK50" s="383"/>
      <x:c r="AL50" s="383"/>
      <x:c r="AM50" s="383"/>
      <x:c r="AN50" s="383"/>
      <x:c r="AO50" s="383"/>
      <x:c r="AP50" s="383"/>
      <x:c r="AQ50" s="383"/>
      <x:c r="AR50" s="383"/>
      <x:c r="AS50" s="383"/>
    </x:row>
    <x:row r="51" ht="22" customHeight="1">
      <x:c r="A51" s="479"/>
      <x:c r="B51" s="415"/>
      <x:c r="C51" s="1163" t="n">
        <x:f>SUM(C50:AB50)</x:f>
        <x:v>21805</x:v>
      </x:c>
      <x:c r="D51" s="472" t="n" cm="1">
        <x:f t="array" ref="D51">IFERROR(_xlfn.XLOOKUP(B$27,Pivot!$B$2:$EU$2,_xlfn.XLOOKUP($B50,Pivot!$A$11:$A$35,Pivot!$B$11:$EU$35),0,0),0)-C51</x:f>
        <x:v>0</x:v>
      </x:c>
      <x:c r="E51" s="1163"/>
      <x:c r="F51" s="1181"/>
      <x:c r="G51" s="1181"/>
      <x:c r="H51" s="415"/>
      <x:c r="I51" s="415"/>
      <x:c r="J51" s="415"/>
      <x:c r="K51" s="1163"/>
      <x:c r="L51" s="1163"/>
      <x:c r="M51" s="1163"/>
      <x:c r="N51" s="1163"/>
      <x:c r="O51" s="1163"/>
      <x:c r="P51" s="1163"/>
      <x:c r="Q51" s="1163"/>
      <x:c r="R51" s="1163"/>
      <x:c r="S51" s="1163"/>
      <x:c r="T51" s="1163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  <x:c r="AM51" s="415"/>
      <x:c r="AN51" s="415"/>
      <x:c r="AO51" s="415"/>
      <x:c r="AP51" s="415"/>
      <x:c r="AQ51" s="415"/>
      <x:c r="AR51" s="415"/>
      <x:c r="AS51" s="415"/>
    </x:row>
    <x:row r="52" ht="22" customHeight="1">
      <x:c r="A52" s="480"/>
      <x:c r="B52" s="383"/>
      <x:c r="C52" s="383"/>
      <x:c r="D52" s="383"/>
      <x:c r="E52" s="383"/>
      <x:c r="F52" s="383"/>
      <x:c r="G52" s="383"/>
      <x:c r="H52" s="383"/>
      <x:c r="I52" s="1121"/>
      <x:c r="J52" s="447"/>
      <x:c r="K52" s="383"/>
      <x:c r="L52" s="383"/>
      <x:c r="M52" s="383"/>
      <x:c r="N52" s="383"/>
      <x:c r="O52" s="383"/>
      <x:c r="P52" s="383"/>
      <x:c r="Q52" s="383"/>
      <x:c r="R52" s="383"/>
      <x:c r="S52" s="383"/>
      <x:c r="T52" s="383"/>
      <x:c r="U52" s="383"/>
      <x:c r="V52" s="383"/>
      <x:c r="W52" s="383"/>
      <x:c r="X52" s="383"/>
      <x:c r="Y52" s="383"/>
      <x:c r="Z52" s="383"/>
      <x:c r="AA52" s="383"/>
      <x:c r="AB52" s="383"/>
      <x:c r="AC52" s="383"/>
      <x:c r="AD52" s="383"/>
      <x:c r="AE52" s="383"/>
      <x:c r="AF52" s="383"/>
      <x:c r="AG52" s="383"/>
      <x:c r="AH52" s="383"/>
      <x:c r="AI52" s="383"/>
      <x:c r="AJ52" s="383"/>
      <x:c r="AK52" s="383"/>
      <x:c r="AL52" s="383"/>
      <x:c r="AM52" s="383"/>
      <x:c r="AN52" s="383"/>
      <x:c r="AO52" s="383"/>
      <x:c r="AP52" s="383"/>
      <x:c r="AQ52" s="383"/>
      <x:c r="AR52" s="383"/>
      <x:c r="AS52" s="383"/>
    </x:row>
    <x:row r="53" ht="22" customHeight="1">
      <x:c r="A53" s="479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  <x:c r="AM53" s="415"/>
      <x:c r="AN53" s="415"/>
      <x:c r="AO53" s="415"/>
      <x:c r="AP53" s="415"/>
      <x:c r="AQ53" s="415"/>
      <x:c r="AR53" s="415"/>
      <x:c r="AS53" s="415"/>
    </x:row>
    <x:row r="54" ht="22" customHeight="1">
      <x:c r="A54" s="480"/>
      <x:c r="B54" s="789"/>
      <x:c r="C54" s="1122"/>
      <x:c r="D54" s="1122"/>
      <x:c r="E54" s="1083"/>
      <x:c r="F54" s="383"/>
      <x:c r="G54" s="383"/>
      <x:c r="H54" s="383"/>
      <x:c r="I54" s="383"/>
      <x:c r="J54" s="383"/>
      <x:c r="K54" s="383"/>
      <x:c r="L54" s="383"/>
      <x:c r="M54" s="383"/>
      <x:c r="N54" s="383"/>
      <x:c r="O54" s="383"/>
      <x:c r="P54" s="383"/>
      <x:c r="Q54" s="383"/>
      <x:c r="R54" s="383"/>
      <x:c r="S54" s="383"/>
      <x:c r="T54" s="383"/>
      <x:c r="U54" s="383"/>
      <x:c r="V54" s="383"/>
      <x:c r="W54" s="383"/>
      <x:c r="X54" s="383"/>
      <x:c r="Y54" s="383"/>
      <x:c r="Z54" s="383"/>
      <x:c r="AA54" s="383"/>
      <x:c r="AB54" s="383"/>
      <x:c r="AC54" s="383"/>
      <x:c r="AD54" s="383"/>
      <x:c r="AE54" s="383"/>
      <x:c r="AF54" s="383"/>
      <x:c r="AG54" s="383"/>
      <x:c r="AH54" s="383"/>
      <x:c r="AI54" s="383"/>
      <x:c r="AJ54" s="383"/>
      <x:c r="AK54" s="383"/>
      <x:c r="AL54" s="383"/>
      <x:c r="AM54" s="383"/>
      <x:c r="AN54" s="383"/>
      <x:c r="AO54" s="383"/>
      <x:c r="AP54" s="383"/>
      <x:c r="AQ54" s="383"/>
      <x:c r="AR54" s="383"/>
      <x:c r="AS54" s="383"/>
    </x:row>
    <x:row r="55" ht="22" customHeight="1">
      <x:c r="A55" s="479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  <x:c r="AM55" s="415"/>
      <x:c r="AN55" s="415"/>
      <x:c r="AO55" s="415"/>
      <x:c r="AP55" s="415"/>
      <x:c r="AQ55" s="415"/>
      <x:c r="AR55" s="415"/>
      <x:c r="AS55" s="415"/>
    </x:row>
    <x:row r="56" ht="22" customHeight="1">
      <x:c r="A56" s="480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/>
      <x:c r="O56" s="383"/>
      <x:c r="P56" s="383"/>
      <x:c r="Q56" s="383"/>
      <x:c r="R56" s="383"/>
      <x:c r="S56" s="383"/>
      <x:c r="T56" s="383"/>
      <x:c r="U56" s="383"/>
      <x:c r="V56" s="383"/>
      <x:c r="W56" s="383"/>
      <x:c r="X56" s="383"/>
      <x:c r="Y56" s="383"/>
      <x:c r="Z56" s="383"/>
      <x:c r="AA56" s="383"/>
      <x:c r="AB56" s="383"/>
      <x:c r="AC56" s="383"/>
      <x:c r="AD56" s="383"/>
      <x:c r="AE56" s="383"/>
      <x:c r="AF56" s="383"/>
      <x:c r="AG56" s="383"/>
      <x:c r="AH56" s="383"/>
      <x:c r="AI56" s="383"/>
      <x:c r="AJ56" s="383"/>
      <x:c r="AK56" s="383"/>
      <x:c r="AL56" s="383"/>
      <x:c r="AM56" s="383"/>
      <x:c r="AN56" s="383"/>
      <x:c r="AO56" s="383"/>
      <x:c r="AP56" s="383"/>
      <x:c r="AQ56" s="383"/>
      <x:c r="AR56" s="383"/>
      <x:c r="AS56" s="383"/>
    </x:row>
    <x:row r="57" ht="22" customHeight="1">
      <x:c r="A57" s="479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  <x:c r="AM57" s="415"/>
      <x:c r="AN57" s="415"/>
      <x:c r="AO57" s="415"/>
      <x:c r="AP57" s="415"/>
      <x:c r="AQ57" s="415"/>
      <x:c r="AR57" s="415"/>
      <x:c r="AS57" s="415"/>
    </x:row>
    <x:row r="58" ht="22" customHeight="1">
      <x:c r="A58" s="480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/>
      <x:c r="O58" s="383"/>
      <x:c r="P58" s="383"/>
      <x:c r="Q58" s="383"/>
      <x:c r="R58" s="383"/>
      <x:c r="S58" s="383"/>
      <x:c r="T58" s="383"/>
      <x:c r="U58" s="383"/>
      <x:c r="V58" s="383"/>
      <x:c r="W58" s="383"/>
      <x:c r="X58" s="383"/>
      <x:c r="Y58" s="383"/>
      <x:c r="Z58" s="383"/>
      <x:c r="AA58" s="383"/>
      <x:c r="AB58" s="383"/>
      <x:c r="AC58" s="383"/>
      <x:c r="AD58" s="383"/>
      <x:c r="AE58" s="383"/>
      <x:c r="AF58" s="383"/>
      <x:c r="AG58" s="383"/>
      <x:c r="AH58" s="383"/>
      <x:c r="AI58" s="383"/>
      <x:c r="AJ58" s="383"/>
      <x:c r="AK58" s="383"/>
      <x:c r="AL58" s="383"/>
      <x:c r="AM58" s="383"/>
      <x:c r="AN58" s="383"/>
      <x:c r="AO58" s="383"/>
      <x:c r="AP58" s="383"/>
      <x:c r="AQ58" s="383"/>
      <x:c r="AR58" s="383"/>
      <x:c r="AS58" s="383"/>
    </x:row>
    <x:row r="59" ht="22" customHeight="1">
      <x:c r="A59" s="479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  <x:c r="AM59" s="415"/>
      <x:c r="AN59" s="415"/>
      <x:c r="AO59" s="415"/>
      <x:c r="AP59" s="415"/>
      <x:c r="AQ59" s="415"/>
      <x:c r="AR59" s="415"/>
      <x:c r="AS59" s="415"/>
    </x:row>
    <x:row r="60" ht="22" customHeight="1">
      <x:c r="A60" s="480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/>
      <x:c r="O60" s="383"/>
      <x:c r="P60" s="383"/>
      <x:c r="Q60" s="383"/>
      <x:c r="R60" s="383"/>
      <x:c r="S60" s="383"/>
      <x:c r="T60" s="383"/>
      <x:c r="U60" s="383"/>
      <x:c r="V60" s="383"/>
      <x:c r="W60" s="383"/>
      <x:c r="X60" s="383"/>
      <x:c r="Y60" s="383"/>
      <x:c r="Z60" s="383"/>
      <x:c r="AA60" s="383"/>
      <x:c r="AB60" s="383"/>
      <x:c r="AC60" s="383"/>
      <x:c r="AD60" s="383"/>
      <x:c r="AE60" s="383"/>
      <x:c r="AF60" s="383"/>
      <x:c r="AG60" s="383"/>
      <x:c r="AH60" s="383"/>
      <x:c r="AI60" s="383"/>
      <x:c r="AJ60" s="383"/>
      <x:c r="AK60" s="383"/>
      <x:c r="AL60" s="383"/>
      <x:c r="AM60" s="383"/>
      <x:c r="AN60" s="383"/>
      <x:c r="AO60" s="383"/>
      <x:c r="AP60" s="383"/>
      <x:c r="AQ60" s="383"/>
      <x:c r="AR60" s="383"/>
      <x:c r="AS60" s="383"/>
    </x:row>
    <x:row r="61" ht="22" customHeight="1">
      <x:c r="A61" s="479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  <x:c r="AM61" s="415"/>
      <x:c r="AN61" s="415"/>
      <x:c r="AO61" s="415"/>
      <x:c r="AP61" s="415"/>
      <x:c r="AQ61" s="415"/>
      <x:c r="AR61" s="415"/>
      <x:c r="AS61" s="415"/>
    </x:row>
    <x:row r="62" ht="22" customHeight="1">
      <x:c r="A62" s="480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/>
      <x:c r="O62" s="383"/>
      <x:c r="P62" s="383"/>
      <x:c r="Q62" s="383"/>
      <x:c r="R62" s="383"/>
      <x:c r="S62" s="383"/>
      <x:c r="T62" s="383"/>
      <x:c r="U62" s="383"/>
      <x:c r="V62" s="383"/>
      <x:c r="W62" s="383"/>
      <x:c r="X62" s="383"/>
      <x:c r="Y62" s="383"/>
      <x:c r="Z62" s="383"/>
      <x:c r="AA62" s="383"/>
      <x:c r="AB62" s="383"/>
      <x:c r="AC62" s="383"/>
      <x:c r="AD62" s="383"/>
      <x:c r="AE62" s="383"/>
      <x:c r="AF62" s="383"/>
      <x:c r="AG62" s="383"/>
      <x:c r="AH62" s="383"/>
      <x:c r="AI62" s="383"/>
      <x:c r="AJ62" s="383"/>
      <x:c r="AK62" s="383"/>
      <x:c r="AL62" s="383"/>
      <x:c r="AM62" s="383"/>
      <x:c r="AN62" s="383"/>
      <x:c r="AO62" s="383"/>
      <x:c r="AP62" s="383"/>
      <x:c r="AQ62" s="383"/>
      <x:c r="AR62" s="383"/>
      <x:c r="AS62" s="383"/>
    </x:row>
    <x:row r="63" ht="22" customHeight="1">
      <x:c r="A63" s="479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  <x:c r="AM63" s="415"/>
      <x:c r="AN63" s="415"/>
      <x:c r="AO63" s="415"/>
      <x:c r="AP63" s="415"/>
      <x:c r="AQ63" s="415"/>
      <x:c r="AR63" s="415"/>
      <x:c r="AS63" s="415"/>
    </x:row>
    <x:row r="64" ht="22" customHeight="1">
      <x:c r="A64" s="480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/>
      <x:c r="O64" s="383"/>
      <x:c r="P64" s="383"/>
      <x:c r="Q64" s="383"/>
      <x:c r="R64" s="383"/>
      <x:c r="S64" s="383"/>
      <x:c r="T64" s="383"/>
      <x:c r="U64" s="383"/>
      <x:c r="V64" s="383"/>
      <x:c r="W64" s="383"/>
      <x:c r="X64" s="383"/>
      <x:c r="Y64" s="383"/>
      <x:c r="Z64" s="383"/>
      <x:c r="AA64" s="383"/>
      <x:c r="AB64" s="383"/>
      <x:c r="AC64" s="383"/>
      <x:c r="AD64" s="383"/>
      <x:c r="AE64" s="383"/>
      <x:c r="AF64" s="383"/>
      <x:c r="AG64" s="383"/>
      <x:c r="AH64" s="383"/>
      <x:c r="AI64" s="383"/>
      <x:c r="AJ64" s="383"/>
      <x:c r="AK64" s="383"/>
      <x:c r="AL64" s="383"/>
      <x:c r="AM64" s="383"/>
      <x:c r="AN64" s="383"/>
      <x:c r="AO64" s="383"/>
      <x:c r="AP64" s="383"/>
      <x:c r="AQ64" s="383"/>
      <x:c r="AR64" s="383"/>
      <x:c r="AS64" s="383"/>
    </x:row>
    <x:row r="65" ht="22" customHeight="1">
      <x:c r="A65" s="479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  <x:c r="AM65" s="415"/>
      <x:c r="AN65" s="415"/>
      <x:c r="AO65" s="415"/>
      <x:c r="AP65" s="415"/>
      <x:c r="AQ65" s="415"/>
      <x:c r="AR65" s="415"/>
      <x:c r="AS65" s="415"/>
    </x:row>
    <x:row r="66" ht="22" customHeight="1">
      <x:c r="A66" s="480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/>
      <x:c r="O66" s="383"/>
      <x:c r="P66" s="383"/>
      <x:c r="Q66" s="383"/>
      <x:c r="R66" s="383"/>
      <x:c r="S66" s="383"/>
      <x:c r="T66" s="383"/>
      <x:c r="U66" s="383"/>
      <x:c r="V66" s="383"/>
      <x:c r="W66" s="383"/>
      <x:c r="X66" s="383"/>
      <x:c r="Y66" s="383"/>
      <x:c r="Z66" s="383"/>
      <x:c r="AA66" s="383"/>
      <x:c r="AB66" s="383"/>
      <x:c r="AC66" s="383"/>
      <x:c r="AD66" s="383"/>
      <x:c r="AE66" s="383"/>
      <x:c r="AF66" s="383"/>
      <x:c r="AG66" s="383"/>
      <x:c r="AH66" s="383"/>
      <x:c r="AI66" s="383"/>
      <x:c r="AJ66" s="383"/>
      <x:c r="AK66" s="383"/>
      <x:c r="AL66" s="383"/>
      <x:c r="AM66" s="383"/>
      <x:c r="AN66" s="383"/>
      <x:c r="AO66" s="383"/>
      <x:c r="AP66" s="383"/>
      <x:c r="AQ66" s="383"/>
      <x:c r="AR66" s="383"/>
      <x:c r="AS66" s="383"/>
    </x:row>
    <x:row r="67" ht="22" customHeight="1">
      <x:c r="A67" s="479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  <x:c r="AM67" s="415"/>
      <x:c r="AN67" s="415"/>
      <x:c r="AO67" s="415"/>
      <x:c r="AP67" s="415"/>
      <x:c r="AQ67" s="415"/>
      <x:c r="AR67" s="415"/>
      <x:c r="AS67" s="415"/>
    </x:row>
    <x:row r="68" ht="22" customHeight="1">
      <x:c r="A68" s="480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/>
      <x:c r="O68" s="383"/>
      <x:c r="P68" s="383"/>
      <x:c r="Q68" s="383"/>
      <x:c r="R68" s="383"/>
      <x:c r="S68" s="383"/>
      <x:c r="T68" s="383"/>
      <x:c r="U68" s="383"/>
      <x:c r="V68" s="383"/>
      <x:c r="W68" s="383"/>
      <x:c r="X68" s="383"/>
      <x:c r="Y68" s="383"/>
      <x:c r="Z68" s="383"/>
      <x:c r="AA68" s="383"/>
      <x:c r="AB68" s="383"/>
      <x:c r="AC68" s="383"/>
      <x:c r="AD68" s="383"/>
      <x:c r="AE68" s="383"/>
      <x:c r="AF68" s="383"/>
      <x:c r="AG68" s="383"/>
      <x:c r="AH68" s="383"/>
      <x:c r="AI68" s="383"/>
      <x:c r="AJ68" s="383"/>
      <x:c r="AK68" s="383"/>
      <x:c r="AL68" s="383"/>
      <x:c r="AM68" s="383"/>
      <x:c r="AN68" s="383"/>
      <x:c r="AO68" s="383"/>
      <x:c r="AP68" s="383"/>
      <x:c r="AQ68" s="383"/>
      <x:c r="AR68" s="383"/>
      <x:c r="AS68" s="383"/>
    </x:row>
    <x:row r="69" ht="22" customHeight="1">
      <x:c r="A69" s="479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  <x:c r="AM69" s="415"/>
      <x:c r="AN69" s="415"/>
      <x:c r="AO69" s="415"/>
      <x:c r="AP69" s="415"/>
      <x:c r="AQ69" s="415"/>
      <x:c r="AR69" s="415"/>
      <x:c r="AS69" s="415"/>
    </x:row>
    <x:row r="70" ht="22" customHeight="1">
      <x:c r="A70" s="480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/>
      <x:c r="O70" s="383"/>
      <x:c r="P70" s="383"/>
      <x:c r="Q70" s="383"/>
      <x:c r="R70" s="383"/>
      <x:c r="S70" s="383"/>
      <x:c r="T70" s="383"/>
      <x:c r="U70" s="383"/>
      <x:c r="V70" s="383"/>
      <x:c r="W70" s="383"/>
      <x:c r="X70" s="383"/>
      <x:c r="Y70" s="383"/>
      <x:c r="Z70" s="383"/>
      <x:c r="AA70" s="383"/>
      <x:c r="AB70" s="383"/>
      <x:c r="AC70" s="383"/>
      <x:c r="AD70" s="383"/>
      <x:c r="AE70" s="383"/>
      <x:c r="AF70" s="383"/>
      <x:c r="AG70" s="383"/>
      <x:c r="AH70" s="383"/>
      <x:c r="AI70" s="383"/>
      <x:c r="AJ70" s="383"/>
      <x:c r="AK70" s="383"/>
      <x:c r="AL70" s="383"/>
      <x:c r="AM70" s="383"/>
      <x:c r="AN70" s="383"/>
      <x:c r="AO70" s="383"/>
      <x:c r="AP70" s="383"/>
      <x:c r="AQ70" s="383"/>
      <x:c r="AR70" s="383"/>
      <x:c r="AS70" s="383"/>
    </x:row>
    <x:row r="71" ht="22" customHeight="1">
      <x:c r="A71" s="479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  <x:c r="AM71" s="415"/>
      <x:c r="AN71" s="415"/>
      <x:c r="AO71" s="415"/>
      <x:c r="AP71" s="415"/>
      <x:c r="AQ71" s="415"/>
      <x:c r="AR71" s="415"/>
      <x:c r="AS71" s="415"/>
    </x:row>
    <x:row r="72" ht="22" customHeight="1">
      <x:c r="A72" s="480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/>
      <x:c r="O72" s="383"/>
      <x:c r="P72" s="383"/>
      <x:c r="Q72" s="383"/>
      <x:c r="R72" s="383"/>
      <x:c r="S72" s="383"/>
      <x:c r="T72" s="383"/>
      <x:c r="U72" s="383"/>
      <x:c r="V72" s="383"/>
      <x:c r="W72" s="383"/>
      <x:c r="X72" s="383"/>
      <x:c r="Y72" s="383"/>
      <x:c r="Z72" s="383"/>
      <x:c r="AA72" s="383"/>
      <x:c r="AB72" s="383"/>
      <x:c r="AC72" s="383"/>
      <x:c r="AD72" s="383"/>
      <x:c r="AE72" s="383"/>
      <x:c r="AF72" s="383"/>
      <x:c r="AG72" s="383"/>
      <x:c r="AH72" s="383"/>
      <x:c r="AI72" s="383"/>
      <x:c r="AJ72" s="383"/>
      <x:c r="AK72" s="383"/>
      <x:c r="AL72" s="383"/>
      <x:c r="AM72" s="383"/>
      <x:c r="AN72" s="383"/>
      <x:c r="AO72" s="383"/>
      <x:c r="AP72" s="383"/>
      <x:c r="AQ72" s="383"/>
      <x:c r="AR72" s="383"/>
      <x:c r="AS72" s="383"/>
    </x:row>
    <x:row r="73" ht="22" customHeight="1">
      <x:c r="A73" s="1178" t="s">
        <x:v>157</x:v>
      </x:c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  <x:c r="AM73" s="415"/>
      <x:c r="AN73" s="415"/>
      <x:c r="AO73" s="415"/>
      <x:c r="AP73" s="415"/>
      <x:c r="AQ73" s="415"/>
      <x:c r="AR73" s="415"/>
      <x:c r="AS73" s="415"/>
    </x:row>
    <x:row r="74" ht="22" customHeight="1">
      <x:c r="A74" s="1112" t="s">
        <x:v>158</x:v>
      </x:c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/>
      <x:c r="O74" s="383"/>
      <x:c r="P74" s="383"/>
      <x:c r="Q74" s="383"/>
      <x:c r="R74" s="383"/>
      <x:c r="S74" s="383"/>
      <x:c r="T74" s="383"/>
      <x:c r="U74" s="383"/>
      <x:c r="V74" s="383"/>
      <x:c r="W74" s="383"/>
      <x:c r="X74" s="383"/>
      <x:c r="Y74" s="383"/>
      <x:c r="Z74" s="383"/>
      <x:c r="AA74" s="383"/>
      <x:c r="AB74" s="383"/>
      <x:c r="AC74" s="383"/>
      <x:c r="AD74" s="383"/>
      <x:c r="AE74" s="383"/>
      <x:c r="AF74" s="383"/>
      <x:c r="AG74" s="383"/>
      <x:c r="AH74" s="383"/>
      <x:c r="AI74" s="383"/>
      <x:c r="AJ74" s="383"/>
      <x:c r="AK74" s="383"/>
      <x:c r="AL74" s="383"/>
      <x:c r="AM74" s="383"/>
      <x:c r="AN74" s="383"/>
      <x:c r="AO74" s="383"/>
      <x:c r="AP74" s="383"/>
      <x:c r="AQ74" s="383"/>
      <x:c r="AR74" s="383"/>
      <x:c r="AS74" s="383"/>
    </x:row>
    <x:row r="75" ht="22" customHeight="1">
      <x:c r="A75" s="1178" t="s">
        <x:v>159</x:v>
      </x:c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  <x:c r="AM75" s="415"/>
      <x:c r="AN75" s="415"/>
      <x:c r="AO75" s="415"/>
      <x:c r="AP75" s="415"/>
      <x:c r="AQ75" s="415"/>
      <x:c r="AR75" s="415"/>
      <x:c r="AS75" s="415"/>
    </x:row>
    <x:row r="76" ht="22" customHeight="1">
      <x:c r="A76" s="1112" t="s">
        <x:v>160</x:v>
      </x:c>
      <x:c r="B76" s="383"/>
      <x:c r="C76" s="383"/>
      <x:c r="D76" s="383"/>
      <x:c r="E76" s="383"/>
      <x:c r="F76" s="383"/>
      <x:c r="G76" s="383"/>
      <x:c r="H76" s="383"/>
      <x:c r="I76" s="383"/>
      <x:c r="J76" s="383"/>
      <x:c r="K76" s="383"/>
      <x:c r="L76" s="383"/>
      <x:c r="M76" s="383"/>
      <x:c r="N76" s="383"/>
      <x:c r="O76" s="383"/>
      <x:c r="P76" s="383"/>
      <x:c r="Q76" s="383"/>
      <x:c r="R76" s="383"/>
      <x:c r="S76" s="383"/>
      <x:c r="T76" s="383"/>
      <x:c r="U76" s="383"/>
      <x:c r="V76" s="383"/>
      <x:c r="W76" s="383"/>
      <x:c r="X76" s="383"/>
      <x:c r="Y76" s="383"/>
      <x:c r="Z76" s="383"/>
      <x:c r="AA76" s="383"/>
      <x:c r="AB76" s="383"/>
      <x:c r="AC76" s="383"/>
      <x:c r="AD76" s="383"/>
      <x:c r="AE76" s="383"/>
      <x:c r="AF76" s="383"/>
      <x:c r="AG76" s="383"/>
      <x:c r="AH76" s="383"/>
      <x:c r="AI76" s="383"/>
      <x:c r="AJ76" s="383"/>
      <x:c r="AK76" s="383"/>
      <x:c r="AL76" s="383"/>
      <x:c r="AM76" s="383"/>
      <x:c r="AN76" s="383"/>
      <x:c r="AO76" s="383"/>
      <x:c r="AP76" s="383"/>
      <x:c r="AQ76" s="383"/>
      <x:c r="AR76" s="383"/>
      <x:c r="AS76" s="383"/>
    </x:row>
    <x:row r="77" ht="22" customHeight="1">
      <x:c r="A77" s="1178" t="s">
        <x:v>161</x:v>
      </x:c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  <x:c r="AM77" s="415"/>
      <x:c r="AN77" s="415"/>
      <x:c r="AO77" s="415"/>
      <x:c r="AP77" s="415"/>
      <x:c r="AQ77" s="415"/>
      <x:c r="AR77" s="415"/>
      <x:c r="AS77" s="415"/>
    </x:row>
    <x:row r="78" ht="22" customHeight="1">
      <x:c r="A78" s="1112" t="s">
        <x:v>163</x:v>
      </x:c>
      <x:c r="B78" s="383"/>
      <x:c r="C78" s="383"/>
      <x:c r="D78" s="383"/>
      <x:c r="E78" s="383"/>
      <x:c r="F78" s="383"/>
      <x:c r="G78" s="383"/>
      <x:c r="H78" s="383"/>
      <x:c r="I78" s="383"/>
      <x:c r="J78" s="383"/>
      <x:c r="K78" s="383"/>
      <x:c r="L78" s="383"/>
      <x:c r="M78" s="383"/>
      <x:c r="N78" s="383"/>
      <x:c r="O78" s="383"/>
      <x:c r="P78" s="383"/>
      <x:c r="Q78" s="383"/>
      <x:c r="R78" s="383"/>
      <x:c r="S78" s="383"/>
      <x:c r="T78" s="383"/>
      <x:c r="U78" s="383"/>
      <x:c r="V78" s="383"/>
      <x:c r="W78" s="383"/>
      <x:c r="X78" s="383"/>
      <x:c r="Y78" s="383"/>
      <x:c r="Z78" s="383"/>
      <x:c r="AA78" s="383"/>
      <x:c r="AB78" s="383"/>
      <x:c r="AC78" s="383"/>
      <x:c r="AD78" s="383"/>
      <x:c r="AE78" s="383"/>
      <x:c r="AF78" s="383"/>
      <x:c r="AG78" s="383"/>
      <x:c r="AH78" s="383"/>
      <x:c r="AI78" s="383"/>
      <x:c r="AJ78" s="383"/>
      <x:c r="AK78" s="383"/>
      <x:c r="AL78" s="383"/>
      <x:c r="AM78" s="383"/>
      <x:c r="AN78" s="383"/>
      <x:c r="AO78" s="383"/>
      <x:c r="AP78" s="383"/>
      <x:c r="AQ78" s="383"/>
      <x:c r="AR78" s="383"/>
      <x:c r="AS78" s="383"/>
    </x:row>
    <x:row r="79" ht="22" customHeight="1">
      <x:c r="A79" s="1178" t="s">
        <x:v>164</x:v>
      </x:c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  <x:c r="AM79" s="415"/>
      <x:c r="AN79" s="415"/>
      <x:c r="AO79" s="415"/>
      <x:c r="AP79" s="415"/>
      <x:c r="AQ79" s="415"/>
      <x:c r="AR79" s="415"/>
      <x:c r="AS79" s="415"/>
    </x:row>
    <x:row r="80" ht="22" customHeight="1">
      <x:c r="A80" s="1112" t="s">
        <x:v>165</x:v>
      </x:c>
      <x:c r="B80" s="383"/>
      <x:c r="C80" s="383"/>
      <x:c r="D80" s="383"/>
      <x:c r="E80" s="383"/>
      <x:c r="F80" s="383"/>
      <x:c r="G80" s="383"/>
      <x:c r="H80" s="383"/>
      <x:c r="I80" s="383"/>
      <x:c r="J80" s="383"/>
      <x:c r="K80" s="383"/>
      <x:c r="L80" s="383"/>
      <x:c r="M80" s="383"/>
      <x:c r="N80" s="383"/>
      <x:c r="O80" s="383"/>
      <x:c r="P80" s="383"/>
      <x:c r="Q80" s="383"/>
      <x:c r="R80" s="383"/>
      <x:c r="S80" s="383"/>
      <x:c r="T80" s="383"/>
      <x:c r="U80" s="383"/>
      <x:c r="V80" s="383"/>
      <x:c r="W80" s="383"/>
      <x:c r="X80" s="383"/>
      <x:c r="Y80" s="383"/>
      <x:c r="Z80" s="383"/>
      <x:c r="AA80" s="383"/>
      <x:c r="AB80" s="383"/>
      <x:c r="AC80" s="383"/>
      <x:c r="AD80" s="383"/>
      <x:c r="AE80" s="383"/>
      <x:c r="AF80" s="383"/>
      <x:c r="AG80" s="383"/>
      <x:c r="AH80" s="383"/>
      <x:c r="AI80" s="383"/>
      <x:c r="AJ80" s="383"/>
      <x:c r="AK80" s="383"/>
      <x:c r="AL80" s="383"/>
      <x:c r="AM80" s="383"/>
      <x:c r="AN80" s="383"/>
      <x:c r="AO80" s="383"/>
      <x:c r="AP80" s="383"/>
      <x:c r="AQ80" s="383"/>
      <x:c r="AR80" s="383"/>
      <x:c r="AS80" s="383"/>
    </x:row>
    <x:row r="81" ht="22" customHeight="1">
      <x:c r="A81" s="1178" t="s">
        <x:v>166</x:v>
      </x:c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  <x:c r="AM81" s="415"/>
      <x:c r="AN81" s="415"/>
      <x:c r="AO81" s="415"/>
      <x:c r="AP81" s="415"/>
      <x:c r="AQ81" s="415"/>
      <x:c r="AR81" s="415"/>
      <x:c r="AS81" s="415"/>
    </x:row>
    <x:row r="82" ht="22" customHeight="1">
      <x:c r="A82" s="1112" t="s">
        <x:v>167</x:v>
      </x:c>
      <x:c r="B82" s="383"/>
      <x:c r="C82" s="383"/>
      <x:c r="D82" s="383"/>
      <x:c r="E82" s="383"/>
      <x:c r="F82" s="383"/>
      <x:c r="G82" s="383"/>
      <x:c r="H82" s="383"/>
      <x:c r="I82" s="383"/>
      <x:c r="J82" s="383"/>
      <x:c r="K82" s="383"/>
      <x:c r="L82" s="383"/>
      <x:c r="M82" s="383"/>
      <x:c r="N82" s="383"/>
      <x:c r="O82" s="383"/>
      <x:c r="P82" s="383"/>
      <x:c r="Q82" s="383"/>
      <x:c r="R82" s="383"/>
      <x:c r="S82" s="383"/>
      <x:c r="T82" s="383"/>
      <x:c r="U82" s="383"/>
      <x:c r="V82" s="383"/>
      <x:c r="W82" s="383"/>
      <x:c r="X82" s="383"/>
      <x:c r="Y82" s="383"/>
      <x:c r="Z82" s="383"/>
      <x:c r="AA82" s="383"/>
      <x:c r="AB82" s="383"/>
      <x:c r="AC82" s="383"/>
      <x:c r="AD82" s="383"/>
      <x:c r="AE82" s="383"/>
      <x:c r="AF82" s="383"/>
      <x:c r="AG82" s="383"/>
      <x:c r="AH82" s="383"/>
      <x:c r="AI82" s="383"/>
      <x:c r="AJ82" s="383"/>
      <x:c r="AK82" s="383"/>
      <x:c r="AL82" s="383"/>
      <x:c r="AM82" s="383"/>
      <x:c r="AN82" s="383"/>
      <x:c r="AO82" s="383"/>
      <x:c r="AP82" s="383"/>
      <x:c r="AQ82" s="383"/>
      <x:c r="AR82" s="383"/>
      <x:c r="AS82" s="383"/>
    </x:row>
    <x:row r="83" ht="22" customHeight="1">
      <x:c r="A83" s="1182" t="s">
        <x:v>169</x:v>
      </x:c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  <x:c r="AM83" s="415"/>
      <x:c r="AN83" s="415"/>
      <x:c r="AO83" s="415"/>
      <x:c r="AP83" s="415"/>
      <x:c r="AQ83" s="415"/>
      <x:c r="AR83" s="415"/>
      <x:c r="AS83" s="415"/>
    </x:row>
    <x:row r="84" ht="22" customHeight="1">
      <x:c r="A84" s="1112" t="s">
        <x:v>170</x:v>
      </x:c>
      <x:c r="B84" s="383"/>
      <x:c r="C84" s="383"/>
      <x:c r="D84" s="383"/>
      <x:c r="E84" s="383"/>
      <x:c r="F84" s="383"/>
      <x:c r="G84" s="383"/>
      <x:c r="H84" s="383"/>
      <x:c r="I84" s="383"/>
      <x:c r="J84" s="383"/>
      <x:c r="K84" s="383"/>
      <x:c r="L84" s="383"/>
      <x:c r="M84" s="383"/>
      <x:c r="N84" s="383"/>
      <x:c r="O84" s="383"/>
      <x:c r="P84" s="383"/>
      <x:c r="Q84" s="383"/>
      <x:c r="R84" s="383"/>
      <x:c r="S84" s="383"/>
      <x:c r="T84" s="383"/>
      <x:c r="U84" s="383"/>
      <x:c r="V84" s="383"/>
      <x:c r="W84" s="383"/>
      <x:c r="X84" s="383"/>
      <x:c r="Y84" s="383"/>
      <x:c r="Z84" s="383"/>
      <x:c r="AA84" s="383"/>
      <x:c r="AB84" s="383"/>
      <x:c r="AC84" s="383"/>
      <x:c r="AD84" s="383"/>
      <x:c r="AE84" s="383"/>
      <x:c r="AF84" s="383"/>
      <x:c r="AG84" s="383"/>
      <x:c r="AH84" s="383"/>
      <x:c r="AI84" s="383"/>
      <x:c r="AJ84" s="383"/>
      <x:c r="AK84" s="383"/>
      <x:c r="AL84" s="383"/>
      <x:c r="AM84" s="383"/>
      <x:c r="AN84" s="383"/>
      <x:c r="AO84" s="383"/>
      <x:c r="AP84" s="383"/>
      <x:c r="AQ84" s="383"/>
      <x:c r="AR84" s="383"/>
      <x:c r="AS84" s="383"/>
    </x:row>
    <x:row r="85" ht="22" customHeight="1">
      <x:c r="A85" s="1178" t="s">
        <x:v>171</x:v>
      </x:c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  <x:c r="AM85" s="415"/>
      <x:c r="AN85" s="415"/>
      <x:c r="AO85" s="415"/>
      <x:c r="AP85" s="415"/>
      <x:c r="AQ85" s="415"/>
      <x:c r="AR85" s="415"/>
      <x:c r="AS85" s="415"/>
    </x:row>
    <x:row r="86" ht="22" customHeight="1">
      <x:c r="A86" s="1112" t="s">
        <x:v>172</x:v>
      </x:c>
      <x:c r="B86" s="383"/>
      <x:c r="C86" s="383"/>
      <x:c r="D86" s="383"/>
      <x:c r="E86" s="383"/>
      <x:c r="F86" s="383"/>
      <x:c r="G86" s="383"/>
      <x:c r="H86" s="383"/>
      <x:c r="I86" s="383"/>
      <x:c r="J86" s="383"/>
      <x:c r="K86" s="383"/>
      <x:c r="L86" s="383"/>
      <x:c r="M86" s="383"/>
      <x:c r="N86" s="383"/>
      <x:c r="O86" s="383"/>
      <x:c r="P86" s="383"/>
      <x:c r="Q86" s="383"/>
      <x:c r="R86" s="383"/>
      <x:c r="S86" s="383"/>
      <x:c r="T86" s="383"/>
      <x:c r="U86" s="383"/>
      <x:c r="V86" s="383"/>
      <x:c r="W86" s="383"/>
      <x:c r="X86" s="383"/>
      <x:c r="Y86" s="383"/>
      <x:c r="Z86" s="383"/>
      <x:c r="AA86" s="383"/>
      <x:c r="AB86" s="383"/>
      <x:c r="AC86" s="383"/>
      <x:c r="AD86" s="383"/>
      <x:c r="AE86" s="383"/>
      <x:c r="AF86" s="383"/>
      <x:c r="AG86" s="383"/>
      <x:c r="AH86" s="383"/>
      <x:c r="AI86" s="383"/>
      <x:c r="AJ86" s="383"/>
      <x:c r="AK86" s="383"/>
      <x:c r="AL86" s="383"/>
      <x:c r="AM86" s="383"/>
      <x:c r="AN86" s="383"/>
      <x:c r="AO86" s="383"/>
      <x:c r="AP86" s="383"/>
      <x:c r="AQ86" s="383"/>
      <x:c r="AR86" s="383"/>
      <x:c r="AS86" s="383"/>
    </x:row>
    <x:row r="87" ht="22" customHeight="1">
      <x:c r="A87" s="1178" t="s">
        <x:v>173</x:v>
      </x:c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  <x:c r="AM87" s="415"/>
      <x:c r="AN87" s="415"/>
      <x:c r="AO87" s="415"/>
      <x:c r="AP87" s="415"/>
      <x:c r="AQ87" s="415"/>
      <x:c r="AR87" s="415"/>
      <x:c r="AS87" s="415"/>
    </x:row>
    <x:row r="88" ht="22" customHeight="1">
      <x:c r="A88" s="1112" t="s">
        <x:v>174</x:v>
      </x:c>
      <x:c r="B88" s="383"/>
      <x:c r="C88" s="383"/>
      <x:c r="D88" s="383"/>
      <x:c r="E88" s="383"/>
      <x:c r="F88" s="383"/>
      <x:c r="G88" s="383"/>
      <x:c r="H88" s="383"/>
      <x:c r="I88" s="383"/>
      <x:c r="J88" s="383"/>
      <x:c r="K88" s="383"/>
      <x:c r="L88" s="383"/>
      <x:c r="M88" s="383"/>
      <x:c r="N88" s="383"/>
      <x:c r="O88" s="383"/>
      <x:c r="P88" s="383"/>
      <x:c r="Q88" s="383"/>
      <x:c r="R88" s="383"/>
      <x:c r="S88" s="383"/>
      <x:c r="T88" s="383"/>
      <x:c r="U88" s="383"/>
      <x:c r="V88" s="383"/>
      <x:c r="W88" s="383"/>
      <x:c r="X88" s="383"/>
      <x:c r="Y88" s="383"/>
      <x:c r="Z88" s="383"/>
      <x:c r="AA88" s="383"/>
      <x:c r="AB88" s="383"/>
      <x:c r="AC88" s="383"/>
      <x:c r="AD88" s="383"/>
      <x:c r="AE88" s="383"/>
      <x:c r="AF88" s="383"/>
      <x:c r="AG88" s="383"/>
      <x:c r="AH88" s="383"/>
      <x:c r="AI88" s="383"/>
      <x:c r="AJ88" s="383"/>
      <x:c r="AK88" s="383"/>
      <x:c r="AL88" s="383"/>
      <x:c r="AM88" s="383"/>
      <x:c r="AN88" s="383"/>
      <x:c r="AO88" s="383"/>
      <x:c r="AP88" s="383"/>
      <x:c r="AQ88" s="383"/>
      <x:c r="AR88" s="383"/>
      <x:c r="AS88" s="383"/>
    </x:row>
    <x:row r="89" ht="22" customHeight="1">
      <x:c r="A89" s="1178" t="s">
        <x:v>175</x:v>
      </x:c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  <x:c r="AM89" s="415"/>
      <x:c r="AN89" s="415"/>
      <x:c r="AO89" s="415"/>
      <x:c r="AP89" s="415"/>
      <x:c r="AQ89" s="415"/>
      <x:c r="AR89" s="415"/>
      <x:c r="AS89" s="415"/>
    </x:row>
    <x:row r="90" ht="22" customHeight="1">
      <x:c r="A90" s="1112" t="s">
        <x:v>162</x:v>
      </x:c>
      <x:c r="B90" s="383"/>
      <x:c r="C90" s="383"/>
      <x:c r="D90" s="383"/>
      <x:c r="E90" s="383"/>
      <x:c r="F90" s="383"/>
      <x:c r="G90" s="383"/>
      <x:c r="H90" s="383"/>
      <x:c r="I90" s="383"/>
      <x:c r="J90" s="383"/>
      <x:c r="K90" s="383"/>
      <x:c r="L90" s="383"/>
      <x:c r="M90" s="383"/>
      <x:c r="N90" s="383"/>
      <x:c r="O90" s="383"/>
      <x:c r="P90" s="383"/>
      <x:c r="Q90" s="383"/>
      <x:c r="R90" s="383"/>
      <x:c r="S90" s="383"/>
      <x:c r="T90" s="383"/>
      <x:c r="U90" s="383"/>
      <x:c r="V90" s="383"/>
      <x:c r="W90" s="383"/>
      <x:c r="X90" s="383"/>
      <x:c r="Y90" s="383"/>
      <x:c r="Z90" s="383"/>
      <x:c r="AA90" s="383"/>
      <x:c r="AB90" s="383"/>
      <x:c r="AC90" s="383"/>
      <x:c r="AD90" s="383"/>
      <x:c r="AE90" s="383"/>
      <x:c r="AF90" s="383"/>
      <x:c r="AG90" s="383"/>
      <x:c r="AH90" s="383"/>
      <x:c r="AI90" s="383"/>
      <x:c r="AJ90" s="383"/>
      <x:c r="AK90" s="383"/>
      <x:c r="AL90" s="383"/>
      <x:c r="AM90" s="383"/>
      <x:c r="AN90" s="383"/>
      <x:c r="AO90" s="383"/>
      <x:c r="AP90" s="383"/>
      <x:c r="AQ90" s="383"/>
      <x:c r="AR90" s="383"/>
      <x:c r="AS90" s="383"/>
    </x:row>
    <x:row r="91" ht="22" customHeight="1">
      <x:c r="A91" s="1178" t="s">
        <x:v>176</x:v>
      </x:c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  <x:c r="AM91" s="415"/>
      <x:c r="AN91" s="415"/>
      <x:c r="AO91" s="415"/>
      <x:c r="AP91" s="415"/>
      <x:c r="AQ91" s="415"/>
      <x:c r="AR91" s="415"/>
      <x:c r="AS91" s="415"/>
    </x:row>
    <x:row r="92" ht="22" customHeight="1">
      <x:c r="A92" s="1112" t="s">
        <x:v>247</x:v>
      </x:c>
      <x:c r="B92" s="383"/>
      <x:c r="C92" s="383"/>
      <x:c r="D92" s="383"/>
      <x:c r="E92" s="383"/>
      <x:c r="F92" s="383"/>
      <x:c r="G92" s="383"/>
      <x:c r="H92" s="383"/>
      <x:c r="I92" s="383"/>
      <x:c r="J92" s="383"/>
      <x:c r="K92" s="383"/>
      <x:c r="L92" s="383"/>
      <x:c r="M92" s="383"/>
      <x:c r="N92" s="383"/>
      <x:c r="O92" s="383"/>
      <x:c r="P92" s="383"/>
      <x:c r="Q92" s="383"/>
      <x:c r="R92" s="383"/>
      <x:c r="S92" s="383"/>
      <x:c r="T92" s="383"/>
      <x:c r="U92" s="383"/>
      <x:c r="V92" s="383"/>
      <x:c r="W92" s="383"/>
      <x:c r="X92" s="383"/>
      <x:c r="Y92" s="383"/>
      <x:c r="Z92" s="383"/>
      <x:c r="AA92" s="383"/>
      <x:c r="AB92" s="383"/>
      <x:c r="AC92" s="383"/>
      <x:c r="AD92" s="383"/>
      <x:c r="AE92" s="383"/>
      <x:c r="AF92" s="383"/>
      <x:c r="AG92" s="383"/>
      <x:c r="AH92" s="383"/>
      <x:c r="AI92" s="383"/>
      <x:c r="AJ92" s="383"/>
      <x:c r="AK92" s="383"/>
      <x:c r="AL92" s="383"/>
      <x:c r="AM92" s="383"/>
      <x:c r="AN92" s="383"/>
      <x:c r="AO92" s="383"/>
      <x:c r="AP92" s="383"/>
      <x:c r="AQ92" s="383"/>
      <x:c r="AR92" s="383"/>
      <x:c r="AS92" s="383"/>
    </x:row>
    <x:row r="93" ht="22" customHeight="1">
      <x:c r="A93" s="479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  <x:c r="AM93" s="415"/>
      <x:c r="AN93" s="415"/>
      <x:c r="AO93" s="415"/>
      <x:c r="AP93" s="415"/>
      <x:c r="AQ93" s="415"/>
      <x:c r="AR93" s="415"/>
      <x:c r="AS93" s="415"/>
    </x:row>
    <x:row r="94" ht="22" customHeight="1">
      <x:c r="A94" s="1112" t="str">
        <x:f>_xlfn.XLOOKUP(B94,$B$73:$B$92,$A$73:$A$92)</x:f>
        <x:v>Andijon SKLAD</x:v>
      </x:c>
      <x:c r="B94" s="383"/>
      <x:c r="C94" s="383"/>
      <x:c r="D94" s="383"/>
      <x:c r="E94" s="383"/>
      <x:c r="F94" s="383"/>
      <x:c r="G94" s="383"/>
      <x:c r="H94" s="383"/>
      <x:c r="I94" s="383"/>
      <x:c r="J94" s="383"/>
      <x:c r="K94" s="383"/>
      <x:c r="L94" s="383"/>
      <x:c r="M94" s="383"/>
      <x:c r="N94" s="383"/>
      <x:c r="O94" s="383"/>
      <x:c r="P94" s="383"/>
      <x:c r="Q94" s="383"/>
      <x:c r="R94" s="383"/>
      <x:c r="S94" s="383"/>
      <x:c r="T94" s="383"/>
      <x:c r="U94" s="383"/>
      <x:c r="V94" s="383"/>
      <x:c r="W94" s="383"/>
      <x:c r="X94" s="383"/>
      <x:c r="Y94" s="383"/>
      <x:c r="Z94" s="383"/>
      <x:c r="AA94" s="383"/>
      <x:c r="AB94" s="383"/>
      <x:c r="AC94" s="383"/>
      <x:c r="AD94" s="383"/>
      <x:c r="AE94" s="383"/>
      <x:c r="AF94" s="383"/>
      <x:c r="AG94" s="383"/>
      <x:c r="AH94" s="383"/>
      <x:c r="AI94" s="383"/>
      <x:c r="AJ94" s="383"/>
      <x:c r="AK94" s="383"/>
      <x:c r="AL94" s="383"/>
      <x:c r="AM94" s="383"/>
      <x:c r="AN94" s="383"/>
      <x:c r="AO94" s="383"/>
      <x:c r="AP94" s="383"/>
      <x:c r="AQ94" s="383"/>
      <x:c r="AR94" s="383"/>
      <x:c r="AS94" s="383"/>
    </x:row>
    <x:row r="95" ht="22" customHeight="1">
      <x:c r="A95" s="1178" t="str">
        <x:f t="shared" ref="A95:A113" si="30">_xlfn.XLOOKUP(B95,$B$73:$B$92,$A$73:$A$92)</x:f>
        <x:v>Andijon SKLAD</x:v>
      </x:c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  <x:c r="AM95" s="415"/>
      <x:c r="AN95" s="415"/>
      <x:c r="AO95" s="415"/>
      <x:c r="AP95" s="415"/>
      <x:c r="AQ95" s="415"/>
      <x:c r="AR95" s="415"/>
      <x:c r="AS95" s="415"/>
    </x:row>
    <x:row r="96" ht="22" customHeight="1">
      <x:c r="A96" s="1112" t="str">
        <x:f t="shared" si="30"/>
        <x:v>Andijon SKLAD</x:v>
      </x:c>
      <x:c r="B96" s="383"/>
      <x:c r="C96" s="383"/>
      <x:c r="D96" s="383"/>
      <x:c r="E96" s="383"/>
      <x:c r="F96" s="383"/>
      <x:c r="G96" s="383"/>
      <x:c r="H96" s="383"/>
      <x:c r="I96" s="383"/>
      <x:c r="J96" s="383"/>
      <x:c r="K96" s="383"/>
      <x:c r="L96" s="383"/>
      <x:c r="M96" s="383"/>
      <x:c r="N96" s="383"/>
      <x:c r="O96" s="383"/>
      <x:c r="P96" s="383"/>
      <x:c r="Q96" s="383"/>
      <x:c r="R96" s="383"/>
      <x:c r="S96" s="383"/>
      <x:c r="T96" s="383"/>
      <x:c r="U96" s="383"/>
      <x:c r="V96" s="383"/>
      <x:c r="W96" s="383"/>
      <x:c r="X96" s="383"/>
      <x:c r="Y96" s="383"/>
      <x:c r="Z96" s="383"/>
      <x:c r="AA96" s="383"/>
      <x:c r="AB96" s="383"/>
      <x:c r="AC96" s="383"/>
      <x:c r="AD96" s="383"/>
      <x:c r="AE96" s="383"/>
      <x:c r="AF96" s="383"/>
      <x:c r="AG96" s="383"/>
      <x:c r="AH96" s="383"/>
      <x:c r="AI96" s="383"/>
      <x:c r="AJ96" s="383"/>
      <x:c r="AK96" s="383"/>
      <x:c r="AL96" s="383"/>
      <x:c r="AM96" s="383"/>
      <x:c r="AN96" s="383"/>
      <x:c r="AO96" s="383"/>
      <x:c r="AP96" s="383"/>
      <x:c r="AQ96" s="383"/>
      <x:c r="AR96" s="383"/>
      <x:c r="AS96" s="383"/>
    </x:row>
    <x:row r="97" ht="22" customHeight="1">
      <x:c r="A97" s="1178" t="str">
        <x:f t="shared" si="30"/>
        <x:v>Andijon SKLAD</x:v>
      </x:c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  <x:c r="AM97" s="415"/>
      <x:c r="AN97" s="415"/>
      <x:c r="AO97" s="415"/>
      <x:c r="AP97" s="415"/>
      <x:c r="AQ97" s="415"/>
      <x:c r="AR97" s="415"/>
      <x:c r="AS97" s="415"/>
    </x:row>
    <x:row r="98" ht="22" customHeight="1">
      <x:c r="A98" s="1112" t="str">
        <x:f t="shared" si="30"/>
        <x:v>Andijon SKLAD</x:v>
      </x:c>
      <x:c r="B98" s="383"/>
      <x:c r="C98" s="383"/>
      <x:c r="D98" s="383"/>
      <x:c r="E98" s="383"/>
      <x:c r="F98" s="383"/>
      <x:c r="G98" s="383"/>
      <x:c r="H98" s="383"/>
      <x:c r="I98" s="383"/>
      <x:c r="J98" s="383"/>
      <x:c r="K98" s="383"/>
      <x:c r="L98" s="383"/>
      <x:c r="M98" s="383"/>
      <x:c r="N98" s="383"/>
      <x:c r="O98" s="383"/>
      <x:c r="P98" s="383"/>
      <x:c r="Q98" s="383"/>
      <x:c r="R98" s="383"/>
      <x:c r="S98" s="383"/>
      <x:c r="T98" s="383"/>
      <x:c r="U98" s="383"/>
      <x:c r="V98" s="383"/>
      <x:c r="W98" s="383"/>
      <x:c r="X98" s="383"/>
      <x:c r="Y98" s="383"/>
      <x:c r="Z98" s="383"/>
      <x:c r="AA98" s="383"/>
      <x:c r="AB98" s="383"/>
      <x:c r="AC98" s="383"/>
      <x:c r="AD98" s="383"/>
      <x:c r="AE98" s="383"/>
      <x:c r="AF98" s="383"/>
      <x:c r="AG98" s="383"/>
      <x:c r="AH98" s="383"/>
      <x:c r="AI98" s="383"/>
      <x:c r="AJ98" s="383"/>
      <x:c r="AK98" s="383"/>
      <x:c r="AL98" s="383"/>
      <x:c r="AM98" s="383"/>
      <x:c r="AN98" s="383"/>
      <x:c r="AO98" s="383"/>
      <x:c r="AP98" s="383"/>
      <x:c r="AQ98" s="383"/>
      <x:c r="AR98" s="383"/>
      <x:c r="AS98" s="383"/>
    </x:row>
    <x:row r="99" ht="22" customHeight="1">
      <x:c r="A99" s="1178" t="str">
        <x:f t="shared" si="30"/>
        <x:v>Andijon SKLAD</x:v>
      </x:c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  <x:c r="AM99" s="415"/>
      <x:c r="AN99" s="415"/>
      <x:c r="AO99" s="415"/>
      <x:c r="AP99" s="415"/>
      <x:c r="AQ99" s="415"/>
      <x:c r="AR99" s="415"/>
      <x:c r="AS99" s="415"/>
    </x:row>
    <x:row r="100" ht="22" customHeight="1">
      <x:c r="A100" s="1112" t="str">
        <x:f t="shared" si="30"/>
        <x:v>Andijon SKLAD</x:v>
      </x:c>
      <x:c r="B100" s="383"/>
      <x:c r="C100" s="383"/>
      <x:c r="D100" s="383"/>
      <x:c r="E100" s="383"/>
      <x:c r="F100" s="383"/>
      <x:c r="G100" s="383"/>
      <x:c r="H100" s="383"/>
      <x:c r="I100" s="383"/>
      <x:c r="J100" s="383"/>
      <x:c r="K100" s="383"/>
      <x:c r="L100" s="383"/>
      <x:c r="M100" s="383"/>
      <x:c r="N100" s="383"/>
      <x:c r="O100" s="383"/>
      <x:c r="P100" s="383"/>
      <x:c r="Q100" s="383"/>
      <x:c r="R100" s="383"/>
      <x:c r="S100" s="383"/>
      <x:c r="T100" s="383"/>
      <x:c r="U100" s="383"/>
      <x:c r="V100" s="383"/>
      <x:c r="W100" s="383"/>
      <x:c r="X100" s="383"/>
      <x:c r="Y100" s="383"/>
      <x:c r="Z100" s="383"/>
      <x:c r="AA100" s="383"/>
      <x:c r="AB100" s="383"/>
      <x:c r="AC100" s="383"/>
      <x:c r="AD100" s="383"/>
      <x:c r="AE100" s="383"/>
      <x:c r="AF100" s="383"/>
      <x:c r="AG100" s="383"/>
      <x:c r="AH100" s="383"/>
      <x:c r="AI100" s="383"/>
      <x:c r="AJ100" s="383"/>
      <x:c r="AK100" s="383"/>
      <x:c r="AL100" s="383"/>
      <x:c r="AM100" s="383"/>
      <x:c r="AN100" s="383"/>
      <x:c r="AO100" s="383"/>
      <x:c r="AP100" s="383"/>
      <x:c r="AQ100" s="383"/>
      <x:c r="AR100" s="383"/>
      <x:c r="AS100" s="383"/>
    </x:row>
    <x:row r="101" ht="22" customHeight="1">
      <x:c r="A101" s="1178" t="str">
        <x:f t="shared" si="30"/>
        <x:v>Andijon SKLAD</x:v>
      </x:c>
      <x:c r="B101" s="415"/>
      <x:c r="C101" s="415"/>
      <x:c r="D101" s="415"/>
      <x:c r="E101" s="415"/>
      <x:c r="F101" s="415"/>
      <x:c r="G101" s="415"/>
      <x:c r="H101" s="415"/>
      <x:c r="I101" s="415"/>
      <x:c r="J101" s="415"/>
      <x:c r="K101" s="415"/>
      <x:c r="L101" s="415"/>
      <x:c r="M101" s="415"/>
      <x:c r="N101" s="415"/>
      <x:c r="O101" s="415"/>
      <x:c r="P101" s="415"/>
      <x:c r="Q101" s="415"/>
      <x:c r="R101" s="415"/>
      <x:c r="S101" s="415"/>
      <x:c r="T101" s="415"/>
      <x:c r="U101" s="415"/>
      <x:c r="V101" s="415"/>
      <x:c r="W101" s="415"/>
      <x:c r="X101" s="415"/>
      <x:c r="Y101" s="415"/>
      <x:c r="Z101" s="415"/>
      <x:c r="AA101" s="415"/>
      <x:c r="AB101" s="415"/>
      <x:c r="AC101" s="415"/>
      <x:c r="AD101" s="415"/>
      <x:c r="AE101" s="415"/>
      <x:c r="AF101" s="415"/>
      <x:c r="AG101" s="415"/>
      <x:c r="AH101" s="415"/>
      <x:c r="AI101" s="415"/>
      <x:c r="AJ101" s="415"/>
      <x:c r="AK101" s="415"/>
      <x:c r="AL101" s="415"/>
      <x:c r="AM101" s="415"/>
      <x:c r="AN101" s="415"/>
      <x:c r="AO101" s="415"/>
      <x:c r="AP101" s="415"/>
      <x:c r="AQ101" s="415"/>
      <x:c r="AR101" s="415"/>
      <x:c r="AS101" s="415"/>
    </x:row>
    <x:row r="102" ht="22" customHeight="1">
      <x:c r="A102" s="1112" t="str">
        <x:f t="shared" si="30"/>
        <x:v>Andijon SKLAD</x:v>
      </x:c>
      <x:c r="B102" s="383"/>
      <x:c r="C102" s="383"/>
      <x:c r="D102" s="383"/>
      <x:c r="E102" s="383"/>
      <x:c r="F102" s="383"/>
      <x:c r="G102" s="383"/>
      <x:c r="H102" s="383"/>
      <x:c r="I102" s="383"/>
      <x:c r="J102" s="383"/>
      <x:c r="K102" s="383"/>
      <x:c r="L102" s="383"/>
      <x:c r="M102" s="383"/>
      <x:c r="N102" s="383"/>
      <x:c r="O102" s="383"/>
      <x:c r="P102" s="383"/>
      <x:c r="Q102" s="383"/>
      <x:c r="R102" s="383"/>
      <x:c r="S102" s="383"/>
      <x:c r="T102" s="383"/>
      <x:c r="U102" s="383"/>
      <x:c r="V102" s="383"/>
      <x:c r="W102" s="383"/>
      <x:c r="X102" s="383"/>
      <x:c r="Y102" s="383"/>
      <x:c r="Z102" s="383"/>
      <x:c r="AA102" s="383"/>
      <x:c r="AB102" s="383"/>
      <x:c r="AC102" s="383"/>
      <x:c r="AD102" s="383"/>
      <x:c r="AE102" s="383"/>
      <x:c r="AF102" s="383"/>
      <x:c r="AG102" s="383"/>
      <x:c r="AH102" s="383"/>
      <x:c r="AI102" s="383"/>
      <x:c r="AJ102" s="383"/>
      <x:c r="AK102" s="383"/>
      <x:c r="AL102" s="383"/>
      <x:c r="AM102" s="383"/>
      <x:c r="AN102" s="383"/>
      <x:c r="AO102" s="383"/>
      <x:c r="AP102" s="383"/>
      <x:c r="AQ102" s="383"/>
      <x:c r="AR102" s="383"/>
      <x:c r="AS102" s="383"/>
    </x:row>
    <x:row r="103" ht="22" customHeight="1">
      <x:c r="A103" s="1178" t="str">
        <x:f t="shared" si="30"/>
        <x:v>Andijon SKLAD</x:v>
      </x:c>
      <x:c r="B103" s="415"/>
      <x:c r="C103" s="415"/>
      <x:c r="D103" s="415"/>
      <x:c r="E103" s="415"/>
      <x:c r="F103" s="415"/>
      <x:c r="G103" s="415"/>
      <x:c r="H103" s="415"/>
      <x:c r="I103" s="415"/>
      <x:c r="J103" s="415"/>
      <x:c r="K103" s="415"/>
      <x:c r="L103" s="415"/>
      <x:c r="M103" s="415"/>
      <x:c r="N103" s="415"/>
      <x:c r="O103" s="415"/>
      <x:c r="P103" s="415"/>
      <x:c r="Q103" s="415"/>
      <x:c r="R103" s="415"/>
      <x:c r="S103" s="415"/>
      <x:c r="T103" s="415"/>
      <x:c r="U103" s="415"/>
      <x:c r="V103" s="415"/>
      <x:c r="W103" s="415"/>
      <x:c r="X103" s="415"/>
      <x:c r="Y103" s="415"/>
      <x:c r="Z103" s="415"/>
      <x:c r="AA103" s="415"/>
      <x:c r="AB103" s="415"/>
      <x:c r="AC103" s="415"/>
      <x:c r="AD103" s="415"/>
      <x:c r="AE103" s="415"/>
      <x:c r="AF103" s="415"/>
      <x:c r="AG103" s="415"/>
      <x:c r="AH103" s="415"/>
      <x:c r="AI103" s="415"/>
      <x:c r="AJ103" s="415"/>
      <x:c r="AK103" s="415"/>
      <x:c r="AL103" s="415"/>
      <x:c r="AM103" s="415"/>
      <x:c r="AN103" s="415"/>
      <x:c r="AO103" s="415"/>
      <x:c r="AP103" s="415"/>
      <x:c r="AQ103" s="415"/>
      <x:c r="AR103" s="415"/>
      <x:c r="AS103" s="415"/>
    </x:row>
    <x:row r="104" ht="22" customHeight="1">
      <x:c r="A104" s="1112" t="str">
        <x:f t="shared" si="30"/>
        <x:v>Andijon SKLAD</x:v>
      </x:c>
      <x:c r="B104" s="383"/>
      <x:c r="C104" s="383"/>
      <x:c r="D104" s="383"/>
      <x:c r="E104" s="383"/>
      <x:c r="F104" s="383"/>
      <x:c r="G104" s="383"/>
      <x:c r="H104" s="383"/>
      <x:c r="I104" s="383"/>
      <x:c r="J104" s="383"/>
      <x:c r="K104" s="383"/>
      <x:c r="L104" s="383"/>
      <x:c r="M104" s="383"/>
      <x:c r="N104" s="383"/>
      <x:c r="O104" s="383"/>
      <x:c r="P104" s="383"/>
      <x:c r="Q104" s="383"/>
      <x:c r="R104" s="383"/>
      <x:c r="S104" s="383"/>
      <x:c r="T104" s="383"/>
      <x:c r="U104" s="383"/>
      <x:c r="V104" s="383"/>
      <x:c r="W104" s="383"/>
      <x:c r="X104" s="383"/>
      <x:c r="Y104" s="383"/>
      <x:c r="Z104" s="383"/>
      <x:c r="AA104" s="383"/>
      <x:c r="AB104" s="383"/>
      <x:c r="AC104" s="383"/>
      <x:c r="AD104" s="383"/>
      <x:c r="AE104" s="383"/>
      <x:c r="AF104" s="383"/>
      <x:c r="AG104" s="383"/>
      <x:c r="AH104" s="383"/>
      <x:c r="AI104" s="383"/>
      <x:c r="AJ104" s="383"/>
      <x:c r="AK104" s="383"/>
      <x:c r="AL104" s="383"/>
      <x:c r="AM104" s="383"/>
      <x:c r="AN104" s="383"/>
      <x:c r="AO104" s="383"/>
      <x:c r="AP104" s="383"/>
      <x:c r="AQ104" s="383"/>
      <x:c r="AR104" s="383"/>
      <x:c r="AS104" s="383"/>
    </x:row>
    <x:row r="105" ht="22" customHeight="1">
      <x:c r="A105" s="1178" t="str">
        <x:f t="shared" si="30"/>
        <x:v>Andijon SKLAD</x:v>
      </x:c>
      <x:c r="B105" s="415"/>
      <x:c r="C105" s="415"/>
      <x:c r="D105" s="415"/>
      <x:c r="E105" s="415"/>
      <x:c r="F105" s="415"/>
      <x:c r="G105" s="415"/>
      <x:c r="H105" s="415"/>
      <x:c r="I105" s="415"/>
      <x:c r="J105" s="415"/>
      <x:c r="K105" s="415"/>
      <x:c r="L105" s="415"/>
      <x:c r="M105" s="415"/>
      <x:c r="N105" s="415"/>
      <x:c r="O105" s="415"/>
      <x:c r="P105" s="415"/>
      <x:c r="Q105" s="415"/>
      <x:c r="R105" s="415"/>
      <x:c r="S105" s="415"/>
      <x:c r="T105" s="415"/>
      <x:c r="U105" s="415"/>
      <x:c r="V105" s="415"/>
      <x:c r="W105" s="415"/>
      <x:c r="X105" s="415"/>
      <x:c r="Y105" s="415"/>
      <x:c r="Z105" s="415"/>
      <x:c r="AA105" s="415"/>
      <x:c r="AB105" s="415"/>
      <x:c r="AC105" s="415"/>
      <x:c r="AD105" s="415"/>
      <x:c r="AE105" s="415"/>
      <x:c r="AF105" s="415"/>
      <x:c r="AG105" s="415"/>
      <x:c r="AH105" s="415"/>
      <x:c r="AI105" s="415"/>
      <x:c r="AJ105" s="415"/>
      <x:c r="AK105" s="415"/>
      <x:c r="AL105" s="415"/>
      <x:c r="AM105" s="415"/>
      <x:c r="AN105" s="415"/>
      <x:c r="AO105" s="415"/>
      <x:c r="AP105" s="415"/>
      <x:c r="AQ105" s="415"/>
      <x:c r="AR105" s="415"/>
      <x:c r="AS105" s="415"/>
    </x:row>
    <x:row r="106" ht="22" customHeight="1">
      <x:c r="A106" s="1112" t="str">
        <x:f t="shared" si="30"/>
        <x:v>Andijon SKLAD</x:v>
      </x:c>
      <x:c r="B106" s="383"/>
      <x:c r="C106" s="383"/>
      <x:c r="D106" s="383"/>
      <x:c r="E106" s="383"/>
      <x:c r="F106" s="383"/>
      <x:c r="G106" s="383"/>
      <x:c r="H106" s="383"/>
      <x:c r="I106" s="383"/>
      <x:c r="J106" s="383"/>
      <x:c r="K106" s="383"/>
      <x:c r="L106" s="383"/>
      <x:c r="M106" s="383"/>
      <x:c r="N106" s="383"/>
      <x:c r="O106" s="383"/>
      <x:c r="P106" s="383"/>
      <x:c r="Q106" s="383"/>
      <x:c r="R106" s="383"/>
      <x:c r="S106" s="383"/>
      <x:c r="T106" s="383"/>
      <x:c r="U106" s="383"/>
      <x:c r="V106" s="383"/>
      <x:c r="W106" s="383"/>
      <x:c r="X106" s="383"/>
      <x:c r="Y106" s="383"/>
      <x:c r="Z106" s="383"/>
      <x:c r="AA106" s="383"/>
      <x:c r="AB106" s="383"/>
      <x:c r="AC106" s="383"/>
      <x:c r="AD106" s="383"/>
      <x:c r="AE106" s="383"/>
      <x:c r="AF106" s="383"/>
      <x:c r="AG106" s="383"/>
      <x:c r="AH106" s="383"/>
      <x:c r="AI106" s="383"/>
      <x:c r="AJ106" s="383"/>
      <x:c r="AK106" s="383"/>
      <x:c r="AL106" s="383"/>
      <x:c r="AM106" s="383"/>
      <x:c r="AN106" s="383"/>
      <x:c r="AO106" s="383"/>
      <x:c r="AP106" s="383"/>
      <x:c r="AQ106" s="383"/>
      <x:c r="AR106" s="383"/>
      <x:c r="AS106" s="383"/>
    </x:row>
    <x:row r="107" ht="22" customHeight="1">
      <x:c r="A107" s="1178" t="str">
        <x:f t="shared" si="30"/>
        <x:v>Andijon SKLAD</x:v>
      </x:c>
      <x:c r="B107" s="415"/>
      <x:c r="C107" s="415"/>
      <x:c r="D107" s="415"/>
      <x:c r="E107" s="415"/>
      <x:c r="F107" s="415"/>
      <x:c r="G107" s="415"/>
      <x:c r="H107" s="415"/>
      <x:c r="I107" s="415"/>
      <x:c r="J107" s="415"/>
      <x:c r="K107" s="415"/>
      <x:c r="L107" s="415"/>
      <x:c r="M107" s="415"/>
      <x:c r="N107" s="415"/>
      <x:c r="O107" s="415"/>
      <x:c r="P107" s="415"/>
      <x:c r="Q107" s="415"/>
      <x:c r="R107" s="415"/>
      <x:c r="S107" s="415"/>
      <x:c r="T107" s="415"/>
      <x:c r="U107" s="415"/>
      <x:c r="V107" s="415"/>
      <x:c r="W107" s="415"/>
      <x:c r="X107" s="415"/>
      <x:c r="Y107" s="415"/>
      <x:c r="Z107" s="415"/>
      <x:c r="AA107" s="415"/>
      <x:c r="AB107" s="415"/>
      <x:c r="AC107" s="415"/>
      <x:c r="AD107" s="415"/>
      <x:c r="AE107" s="415"/>
      <x:c r="AF107" s="415"/>
      <x:c r="AG107" s="415"/>
      <x:c r="AH107" s="415"/>
      <x:c r="AI107" s="415"/>
      <x:c r="AJ107" s="415"/>
      <x:c r="AK107" s="415"/>
      <x:c r="AL107" s="415"/>
      <x:c r="AM107" s="415"/>
      <x:c r="AN107" s="415"/>
      <x:c r="AO107" s="415"/>
      <x:c r="AP107" s="415"/>
      <x:c r="AQ107" s="415"/>
      <x:c r="AR107" s="415"/>
      <x:c r="AS107" s="415"/>
    </x:row>
    <x:row r="108" ht="22" customHeight="1">
      <x:c r="A108" s="1112" t="str">
        <x:f t="shared" si="30"/>
        <x:v>Andijon SKLAD</x:v>
      </x:c>
      <x:c r="B108" s="383"/>
      <x:c r="C108" s="383"/>
      <x:c r="D108" s="383"/>
      <x:c r="E108" s="383"/>
      <x:c r="F108" s="383"/>
      <x:c r="G108" s="383"/>
      <x:c r="H108" s="383"/>
      <x:c r="I108" s="383"/>
      <x:c r="J108" s="383"/>
      <x:c r="K108" s="383"/>
      <x:c r="L108" s="383"/>
      <x:c r="M108" s="383"/>
      <x:c r="N108" s="383"/>
      <x:c r="O108" s="383"/>
      <x:c r="P108" s="383"/>
      <x:c r="Q108" s="383"/>
      <x:c r="R108" s="383"/>
      <x:c r="S108" s="383"/>
      <x:c r="T108" s="383"/>
      <x:c r="U108" s="383"/>
      <x:c r="V108" s="383"/>
      <x:c r="W108" s="383"/>
      <x:c r="X108" s="383"/>
      <x:c r="Y108" s="383"/>
      <x:c r="Z108" s="383"/>
      <x:c r="AA108" s="383"/>
      <x:c r="AB108" s="383"/>
      <x:c r="AC108" s="383"/>
      <x:c r="AD108" s="383"/>
      <x:c r="AE108" s="383"/>
      <x:c r="AF108" s="383"/>
      <x:c r="AG108" s="383"/>
      <x:c r="AH108" s="383"/>
      <x:c r="AI108" s="383"/>
      <x:c r="AJ108" s="383"/>
      <x:c r="AK108" s="383"/>
      <x:c r="AL108" s="383"/>
      <x:c r="AM108" s="383"/>
      <x:c r="AN108" s="383"/>
      <x:c r="AO108" s="383"/>
      <x:c r="AP108" s="383"/>
      <x:c r="AQ108" s="383"/>
      <x:c r="AR108" s="383"/>
      <x:c r="AS108" s="383"/>
    </x:row>
    <x:row r="109" ht="22" customHeight="1">
      <x:c r="A109" s="1178" t="str">
        <x:f t="shared" si="30"/>
        <x:v>Andijon SKLAD</x:v>
      </x:c>
      <x:c r="B109" s="415"/>
      <x:c r="C109" s="415"/>
      <x:c r="D109" s="415"/>
      <x:c r="E109" s="415"/>
      <x:c r="F109" s="415"/>
      <x:c r="G109" s="415"/>
      <x:c r="H109" s="415"/>
      <x:c r="I109" s="415"/>
      <x:c r="J109" s="415"/>
      <x:c r="K109" s="415"/>
      <x:c r="L109" s="415"/>
      <x:c r="M109" s="415"/>
      <x:c r="N109" s="415"/>
      <x:c r="O109" s="415"/>
      <x:c r="P109" s="415"/>
      <x:c r="Q109" s="415"/>
      <x:c r="R109" s="415"/>
      <x:c r="S109" s="415"/>
      <x:c r="T109" s="415"/>
      <x:c r="U109" s="415"/>
      <x:c r="V109" s="415"/>
      <x:c r="W109" s="415"/>
      <x:c r="X109" s="415"/>
      <x:c r="Y109" s="415"/>
      <x:c r="Z109" s="415"/>
      <x:c r="AA109" s="415"/>
      <x:c r="AB109" s="415"/>
      <x:c r="AC109" s="415"/>
      <x:c r="AD109" s="415"/>
      <x:c r="AE109" s="415"/>
      <x:c r="AF109" s="415"/>
      <x:c r="AG109" s="415"/>
      <x:c r="AH109" s="415"/>
      <x:c r="AI109" s="415"/>
      <x:c r="AJ109" s="415"/>
      <x:c r="AK109" s="415"/>
      <x:c r="AL109" s="415"/>
      <x:c r="AM109" s="415"/>
      <x:c r="AN109" s="415"/>
      <x:c r="AO109" s="415"/>
      <x:c r="AP109" s="415"/>
      <x:c r="AQ109" s="415"/>
      <x:c r="AR109" s="415"/>
      <x:c r="AS109" s="415"/>
    </x:row>
    <x:row r="110" ht="22" customHeight="1">
      <x:c r="A110" s="1112" t="str">
        <x:f t="shared" si="30"/>
        <x:v>Andijon SKLAD</x:v>
      </x:c>
      <x:c r="B110" s="383"/>
      <x:c r="C110" s="383"/>
      <x:c r="D110" s="383"/>
      <x:c r="E110" s="383"/>
      <x:c r="F110" s="383"/>
      <x:c r="G110" s="383"/>
      <x:c r="H110" s="383"/>
      <x:c r="I110" s="383"/>
      <x:c r="J110" s="383"/>
      <x:c r="K110" s="383"/>
      <x:c r="L110" s="383"/>
      <x:c r="M110" s="383"/>
      <x:c r="N110" s="383"/>
      <x:c r="O110" s="383"/>
      <x:c r="P110" s="383"/>
      <x:c r="Q110" s="383"/>
      <x:c r="R110" s="383"/>
      <x:c r="S110" s="383"/>
      <x:c r="T110" s="383"/>
      <x:c r="U110" s="383"/>
      <x:c r="V110" s="383"/>
      <x:c r="W110" s="383"/>
      <x:c r="X110" s="383"/>
      <x:c r="Y110" s="383"/>
      <x:c r="Z110" s="383"/>
      <x:c r="AA110" s="383"/>
      <x:c r="AB110" s="383"/>
      <x:c r="AC110" s="383"/>
      <x:c r="AD110" s="383"/>
      <x:c r="AE110" s="383"/>
      <x:c r="AF110" s="383"/>
      <x:c r="AG110" s="383"/>
      <x:c r="AH110" s="383"/>
      <x:c r="AI110" s="383"/>
      <x:c r="AJ110" s="383"/>
      <x:c r="AK110" s="383"/>
      <x:c r="AL110" s="383"/>
      <x:c r="AM110" s="383"/>
      <x:c r="AN110" s="383"/>
      <x:c r="AO110" s="383"/>
      <x:c r="AP110" s="383"/>
      <x:c r="AQ110" s="383"/>
      <x:c r="AR110" s="383"/>
      <x:c r="AS110" s="383"/>
    </x:row>
    <x:row r="111" ht="22" customHeight="1">
      <x:c r="A111" s="1178" t="str">
        <x:f t="shared" si="30"/>
        <x:v>Andijon SKLAD</x:v>
      </x:c>
      <x:c r="B111" s="415"/>
      <x:c r="C111" s="415"/>
      <x:c r="D111" s="415"/>
      <x:c r="E111" s="415"/>
      <x:c r="F111" s="415"/>
      <x:c r="G111" s="415"/>
      <x:c r="H111" s="415"/>
      <x:c r="I111" s="415"/>
      <x:c r="J111" s="415"/>
      <x:c r="K111" s="415"/>
      <x:c r="L111" s="415"/>
      <x:c r="M111" s="415"/>
      <x:c r="N111" s="415"/>
      <x:c r="O111" s="415"/>
      <x:c r="P111" s="415"/>
      <x:c r="Q111" s="415"/>
      <x:c r="R111" s="415"/>
      <x:c r="S111" s="415"/>
      <x:c r="T111" s="415"/>
      <x:c r="U111" s="415"/>
      <x:c r="V111" s="415"/>
      <x:c r="W111" s="415"/>
      <x:c r="X111" s="415"/>
      <x:c r="Y111" s="415"/>
      <x:c r="Z111" s="415"/>
      <x:c r="AA111" s="415"/>
      <x:c r="AB111" s="415"/>
      <x:c r="AC111" s="415"/>
      <x:c r="AD111" s="415"/>
      <x:c r="AE111" s="415"/>
      <x:c r="AF111" s="415"/>
      <x:c r="AG111" s="415"/>
      <x:c r="AH111" s="415"/>
      <x:c r="AI111" s="415"/>
      <x:c r="AJ111" s="415"/>
      <x:c r="AK111" s="415"/>
      <x:c r="AL111" s="415"/>
      <x:c r="AM111" s="415"/>
      <x:c r="AN111" s="415"/>
      <x:c r="AO111" s="415"/>
      <x:c r="AP111" s="415"/>
      <x:c r="AQ111" s="415"/>
      <x:c r="AR111" s="415"/>
      <x:c r="AS111" s="415"/>
    </x:row>
    <x:row r="112" ht="22" customHeight="1">
      <x:c r="A112" s="1112" t="str">
        <x:f t="shared" si="30"/>
        <x:v>Andijon SKLAD</x:v>
      </x:c>
      <x:c r="B112" s="383"/>
      <x:c r="C112" s="383"/>
      <x:c r="D112" s="383"/>
      <x:c r="E112" s="383"/>
      <x:c r="F112" s="383"/>
      <x:c r="G112" s="383"/>
      <x:c r="H112" s="383"/>
      <x:c r="I112" s="383"/>
      <x:c r="J112" s="383"/>
      <x:c r="K112" s="383"/>
      <x:c r="L112" s="383"/>
      <x:c r="M112" s="383"/>
      <x:c r="N112" s="383"/>
      <x:c r="O112" s="383"/>
      <x:c r="P112" s="383"/>
      <x:c r="Q112" s="383"/>
      <x:c r="R112" s="383"/>
      <x:c r="S112" s="383"/>
      <x:c r="T112" s="383"/>
      <x:c r="U112" s="383"/>
      <x:c r="V112" s="383"/>
      <x:c r="W112" s="383"/>
      <x:c r="X112" s="383"/>
      <x:c r="Y112" s="383"/>
      <x:c r="Z112" s="383"/>
      <x:c r="AA112" s="383"/>
      <x:c r="AB112" s="383"/>
      <x:c r="AC112" s="383"/>
      <x:c r="AD112" s="383"/>
      <x:c r="AE112" s="383"/>
      <x:c r="AF112" s="383"/>
      <x:c r="AG112" s="383"/>
      <x:c r="AH112" s="383"/>
      <x:c r="AI112" s="383"/>
      <x:c r="AJ112" s="383"/>
      <x:c r="AK112" s="383"/>
      <x:c r="AL112" s="383"/>
      <x:c r="AM112" s="383"/>
      <x:c r="AN112" s="383"/>
      <x:c r="AO112" s="383"/>
      <x:c r="AP112" s="383"/>
      <x:c r="AQ112" s="383"/>
      <x:c r="AR112" s="383"/>
      <x:c r="AS112" s="383"/>
    </x:row>
    <x:row r="113" ht="22" customHeight="1">
      <x:c r="A113" s="1178" t="str">
        <x:f t="shared" si="30"/>
        <x:v>Andijon SKLAD</x:v>
      </x:c>
      <x:c r="B113" s="415"/>
      <x:c r="C113" s="415"/>
      <x:c r="D113" s="415"/>
      <x:c r="E113" s="415"/>
      <x:c r="F113" s="415"/>
      <x:c r="G113" s="415"/>
      <x:c r="H113" s="415"/>
      <x:c r="I113" s="415"/>
      <x:c r="J113" s="415"/>
      <x:c r="K113" s="415"/>
      <x:c r="L113" s="415"/>
      <x:c r="M113" s="415"/>
      <x:c r="N113" s="415"/>
      <x:c r="O113" s="415"/>
      <x:c r="P113" s="415"/>
      <x:c r="Q113" s="415"/>
      <x:c r="R113" s="415"/>
      <x:c r="S113" s="415"/>
      <x:c r="T113" s="415"/>
      <x:c r="U113" s="415"/>
      <x:c r="V113" s="415"/>
      <x:c r="W113" s="415"/>
      <x:c r="X113" s="415"/>
      <x:c r="Y113" s="415"/>
      <x:c r="Z113" s="415"/>
      <x:c r="AA113" s="415"/>
      <x:c r="AB113" s="415"/>
      <x:c r="AC113" s="415"/>
      <x:c r="AD113" s="415"/>
      <x:c r="AE113" s="415"/>
      <x:c r="AF113" s="415"/>
      <x:c r="AG113" s="415"/>
      <x:c r="AH113" s="415"/>
      <x:c r="AI113" s="415"/>
      <x:c r="AJ113" s="415"/>
      <x:c r="AK113" s="415"/>
      <x:c r="AL113" s="415"/>
      <x:c r="AM113" s="415"/>
      <x:c r="AN113" s="415"/>
      <x:c r="AO113" s="415"/>
      <x:c r="AP113" s="415"/>
      <x:c r="AQ113" s="415"/>
      <x:c r="AR113" s="415"/>
      <x:c r="AS113" s="415"/>
    </x:row>
    <x:row r="114" ht="22" customHeight="1">
      <x:c r="A114" s="480"/>
      <x:c r="B114" s="383"/>
      <x:c r="C114" s="383"/>
      <x:c r="D114" s="383"/>
      <x:c r="E114" s="383"/>
      <x:c r="F114" s="383"/>
      <x:c r="G114" s="383"/>
      <x:c r="H114" s="383"/>
      <x:c r="I114" s="383"/>
      <x:c r="J114" s="383"/>
      <x:c r="K114" s="383"/>
      <x:c r="L114" s="383"/>
      <x:c r="M114" s="383"/>
      <x:c r="N114" s="383"/>
      <x:c r="O114" s="383"/>
      <x:c r="P114" s="383"/>
      <x:c r="Q114" s="383"/>
      <x:c r="R114" s="383"/>
      <x:c r="S114" s="383"/>
      <x:c r="T114" s="383"/>
      <x:c r="U114" s="383"/>
      <x:c r="V114" s="383"/>
      <x:c r="W114" s="383"/>
      <x:c r="X114" s="383"/>
      <x:c r="Y114" s="383"/>
      <x:c r="Z114" s="383"/>
      <x:c r="AA114" s="383"/>
      <x:c r="AB114" s="383"/>
      <x:c r="AC114" s="383"/>
      <x:c r="AD114" s="383"/>
      <x:c r="AE114" s="383"/>
      <x:c r="AF114" s="383"/>
      <x:c r="AG114" s="383"/>
      <x:c r="AH114" s="383"/>
      <x:c r="AI114" s="383"/>
      <x:c r="AJ114" s="383"/>
      <x:c r="AK114" s="383"/>
      <x:c r="AL114" s="383"/>
      <x:c r="AM114" s="383"/>
      <x:c r="AN114" s="383"/>
      <x:c r="AO114" s="383"/>
      <x:c r="AP114" s="383"/>
      <x:c r="AQ114" s="383"/>
      <x:c r="AR114" s="383"/>
      <x:c r="AS114" s="383"/>
    </x:row>
    <x:row r="115" ht="22" customHeight="1">
      <x:c r="A115" s="479"/>
      <x:c r="B115" s="415"/>
      <x:c r="C115" s="415"/>
      <x:c r="D115" s="415"/>
      <x:c r="E115" s="415"/>
      <x:c r="F115" s="415"/>
      <x:c r="G115" s="415"/>
      <x:c r="H115" s="415"/>
      <x:c r="I115" s="415"/>
      <x:c r="J115" s="415"/>
      <x:c r="K115" s="415"/>
      <x:c r="L115" s="415"/>
      <x:c r="M115" s="415"/>
      <x:c r="N115" s="415"/>
      <x:c r="O115" s="415"/>
      <x:c r="P115" s="415"/>
      <x:c r="Q115" s="415"/>
      <x:c r="R115" s="415"/>
      <x:c r="S115" s="415"/>
      <x:c r="T115" s="415"/>
      <x:c r="U115" s="415"/>
      <x:c r="V115" s="415"/>
      <x:c r="W115" s="415"/>
      <x:c r="X115" s="415"/>
      <x:c r="Y115" s="415"/>
      <x:c r="Z115" s="415"/>
      <x:c r="AA115" s="415"/>
      <x:c r="AB115" s="415"/>
      <x:c r="AC115" s="415"/>
      <x:c r="AD115" s="415"/>
      <x:c r="AE115" s="415"/>
      <x:c r="AF115" s="415"/>
      <x:c r="AG115" s="415"/>
      <x:c r="AH115" s="415"/>
      <x:c r="AI115" s="415"/>
      <x:c r="AJ115" s="415"/>
      <x:c r="AK115" s="415"/>
      <x:c r="AL115" s="415"/>
      <x:c r="AM115" s="415"/>
      <x:c r="AN115" s="415"/>
      <x:c r="AO115" s="415"/>
      <x:c r="AP115" s="415"/>
      <x:c r="AQ115" s="415"/>
      <x:c r="AR115" s="415"/>
      <x:c r="AS115" s="415"/>
    </x:row>
    <x:row r="116" ht="22" customHeight="1">
      <x:c r="A116" s="480" t="s">
        <x:v>17</x:v>
      </x:c>
      <x:c r="B116" s="383"/>
      <x:c r="C116" s="383"/>
      <x:c r="D116" s="383"/>
      <x:c r="E116" s="383"/>
      <x:c r="F116" s="383"/>
      <x:c r="G116" s="383"/>
      <x:c r="H116" s="383"/>
      <x:c r="I116" s="383"/>
      <x:c r="J116" s="383"/>
      <x:c r="K116" s="383" t="s">
        <x:v>43</x:v>
      </x:c>
      <x:c r="L116" s="383"/>
      <x:c r="M116" s="383"/>
      <x:c r="N116" s="383"/>
      <x:c r="O116" s="383"/>
      <x:c r="P116" s="383"/>
      <x:c r="Q116" s="383"/>
      <x:c r="R116" s="383"/>
      <x:c r="S116" s="383"/>
      <x:c r="T116" s="383"/>
      <x:c r="U116" s="383"/>
      <x:c r="V116" s="383"/>
      <x:c r="W116" s="383"/>
      <x:c r="X116" s="383"/>
      <x:c r="Y116" s="383"/>
      <x:c r="Z116" s="383"/>
      <x:c r="AA116" s="383"/>
      <x:c r="AB116" s="383"/>
      <x:c r="AC116" s="383"/>
      <x:c r="AD116" s="383"/>
      <x:c r="AE116" s="383"/>
      <x:c r="AF116" s="383"/>
      <x:c r="AG116" s="383"/>
      <x:c r="AH116" s="383"/>
      <x:c r="AI116" s="383"/>
      <x:c r="AJ116" s="383"/>
      <x:c r="AK116" s="383"/>
      <x:c r="AL116" s="383"/>
      <x:c r="AM116" s="383"/>
      <x:c r="AN116" s="383"/>
      <x:c r="AO116" s="383"/>
      <x:c r="AP116" s="383"/>
      <x:c r="AQ116" s="383"/>
      <x:c r="AR116" s="383"/>
      <x:c r="AS116" s="383"/>
    </x:row>
    <x:row r="117" ht="22" customHeight="1">
      <x:c r="A117" s="479" t="s">
        <x:v>19</x:v>
      </x:c>
      <x:c r="B117" s="415"/>
      <x:c r="C117" s="415"/>
      <x:c r="D117" s="415"/>
      <x:c r="E117" s="415"/>
      <x:c r="F117" s="415"/>
      <x:c r="G117" s="415"/>
      <x:c r="H117" s="415"/>
      <x:c r="I117" s="415"/>
      <x:c r="J117" s="415"/>
      <x:c r="K117" s="415" t="s">
        <x:v>51</x:v>
      </x:c>
      <x:c r="L117" s="415"/>
      <x:c r="M117" s="415"/>
      <x:c r="N117" s="415"/>
      <x:c r="O117" s="415"/>
      <x:c r="P117" s="415"/>
      <x:c r="Q117" s="415"/>
      <x:c r="R117" s="415"/>
      <x:c r="S117" s="415"/>
      <x:c r="T117" s="415"/>
      <x:c r="U117" s="415"/>
      <x:c r="V117" s="415"/>
      <x:c r="W117" s="415"/>
      <x:c r="X117" s="415"/>
      <x:c r="Y117" s="415"/>
      <x:c r="Z117" s="415"/>
      <x:c r="AA117" s="415"/>
      <x:c r="AB117" s="415"/>
      <x:c r="AC117" s="415"/>
      <x:c r="AD117" s="415"/>
      <x:c r="AE117" s="415"/>
      <x:c r="AF117" s="415"/>
      <x:c r="AG117" s="415"/>
      <x:c r="AH117" s="415"/>
      <x:c r="AI117" s="415"/>
      <x:c r="AJ117" s="415"/>
      <x:c r="AK117" s="415"/>
      <x:c r="AL117" s="415"/>
      <x:c r="AM117" s="415"/>
      <x:c r="AN117" s="415"/>
      <x:c r="AO117" s="415"/>
      <x:c r="AP117" s="415"/>
      <x:c r="AQ117" s="415"/>
      <x:c r="AR117" s="415"/>
      <x:c r="AS117" s="415"/>
    </x:row>
    <x:row r="118" ht="22" customHeight="1">
      <x:c r="A118" s="480" t="s">
        <x:v>21</x:v>
      </x:c>
      <x:c r="B118" s="383"/>
      <x:c r="C118" s="383"/>
      <x:c r="D118" s="383"/>
      <x:c r="E118" s="383"/>
      <x:c r="F118" s="383"/>
      <x:c r="G118" s="383"/>
      <x:c r="H118" s="383"/>
      <x:c r="I118" s="383"/>
      <x:c r="J118" s="383"/>
      <x:c r="K118" s="383" t="s">
        <x:v>35</x:v>
      </x:c>
      <x:c r="L118" s="383"/>
      <x:c r="M118" s="383"/>
      <x:c r="N118" s="383"/>
      <x:c r="O118" s="383"/>
      <x:c r="P118" s="383"/>
      <x:c r="Q118" s="383"/>
      <x:c r="R118" s="383"/>
      <x:c r="S118" s="383"/>
      <x:c r="T118" s="383"/>
      <x:c r="U118" s="383"/>
      <x:c r="V118" s="383"/>
      <x:c r="W118" s="383"/>
      <x:c r="X118" s="383"/>
      <x:c r="Y118" s="383"/>
      <x:c r="Z118" s="383"/>
      <x:c r="AA118" s="383"/>
      <x:c r="AB118" s="383"/>
      <x:c r="AC118" s="383"/>
      <x:c r="AD118" s="383"/>
      <x:c r="AE118" s="383"/>
      <x:c r="AF118" s="383"/>
      <x:c r="AG118" s="383"/>
      <x:c r="AH118" s="383"/>
      <x:c r="AI118" s="383"/>
      <x:c r="AJ118" s="383"/>
      <x:c r="AK118" s="383"/>
      <x:c r="AL118" s="383"/>
      <x:c r="AM118" s="383"/>
      <x:c r="AN118" s="383"/>
      <x:c r="AO118" s="383"/>
      <x:c r="AP118" s="383"/>
      <x:c r="AQ118" s="383"/>
      <x:c r="AR118" s="383"/>
      <x:c r="AS118" s="383"/>
    </x:row>
    <x:row r="119" ht="22" customHeight="1">
      <x:c r="A119" s="479" t="s">
        <x:v>23</x:v>
      </x:c>
      <x:c r="B119" s="415"/>
      <x:c r="C119" s="415"/>
      <x:c r="D119" s="415"/>
      <x:c r="E119" s="415"/>
      <x:c r="F119" s="415"/>
      <x:c r="G119" s="415"/>
      <x:c r="H119" s="415"/>
      <x:c r="I119" s="415"/>
      <x:c r="J119" s="415"/>
      <x:c r="K119" s="415" t="s">
        <x:v>25</x:v>
      </x:c>
      <x:c r="L119" s="415"/>
      <x:c r="M119" s="415"/>
      <x:c r="N119" s="415"/>
      <x:c r="O119" s="415"/>
      <x:c r="P119" s="415"/>
      <x:c r="Q119" s="415"/>
      <x:c r="R119" s="415"/>
      <x:c r="S119" s="415"/>
      <x:c r="T119" s="415"/>
      <x:c r="U119" s="415"/>
      <x:c r="V119" s="415"/>
      <x:c r="W119" s="415"/>
      <x:c r="X119" s="415"/>
      <x:c r="Y119" s="415"/>
      <x:c r="Z119" s="415"/>
      <x:c r="AA119" s="415"/>
      <x:c r="AB119" s="415"/>
      <x:c r="AC119" s="415"/>
      <x:c r="AD119" s="415"/>
      <x:c r="AE119" s="415"/>
      <x:c r="AF119" s="415"/>
      <x:c r="AG119" s="415"/>
      <x:c r="AH119" s="415"/>
      <x:c r="AI119" s="415"/>
      <x:c r="AJ119" s="415"/>
      <x:c r="AK119" s="415"/>
      <x:c r="AL119" s="415"/>
      <x:c r="AM119" s="415"/>
      <x:c r="AN119" s="415"/>
      <x:c r="AO119" s="415"/>
      <x:c r="AP119" s="415"/>
      <x:c r="AQ119" s="415"/>
      <x:c r="AR119" s="415"/>
      <x:c r="AS119" s="415"/>
    </x:row>
    <x:row r="120" ht="22" customHeight="1">
      <x:c r="A120" s="480" t="s">
        <x:v>25</x:v>
      </x:c>
      <x:c r="B120" s="383"/>
      <x:c r="C120" s="383"/>
      <x:c r="D120" s="383"/>
      <x:c r="E120" s="383"/>
      <x:c r="F120" s="383"/>
      <x:c r="G120" s="383"/>
      <x:c r="H120" s="383"/>
      <x:c r="I120" s="383"/>
      <x:c r="J120" s="383"/>
      <x:c r="K120" s="383" t="s">
        <x:v>23</x:v>
      </x:c>
      <x:c r="L120" s="383"/>
      <x:c r="M120" s="383"/>
      <x:c r="N120" s="383"/>
      <x:c r="O120" s="383"/>
      <x:c r="P120" s="383"/>
      <x:c r="Q120" s="383"/>
      <x:c r="R120" s="383"/>
      <x:c r="S120" s="383"/>
      <x:c r="T120" s="383"/>
      <x:c r="U120" s="383"/>
      <x:c r="V120" s="383"/>
      <x:c r="W120" s="383"/>
      <x:c r="X120" s="383"/>
      <x:c r="Y120" s="383"/>
      <x:c r="Z120" s="383"/>
      <x:c r="AA120" s="383"/>
      <x:c r="AB120" s="383"/>
      <x:c r="AC120" s="383"/>
      <x:c r="AD120" s="383"/>
      <x:c r="AE120" s="383"/>
      <x:c r="AF120" s="383"/>
      <x:c r="AG120" s="383"/>
      <x:c r="AH120" s="383"/>
      <x:c r="AI120" s="383"/>
      <x:c r="AJ120" s="383"/>
      <x:c r="AK120" s="383"/>
      <x:c r="AL120" s="383"/>
      <x:c r="AM120" s="383"/>
      <x:c r="AN120" s="383"/>
      <x:c r="AO120" s="383"/>
      <x:c r="AP120" s="383"/>
      <x:c r="AQ120" s="383"/>
      <x:c r="AR120" s="383"/>
      <x:c r="AS120" s="383"/>
    </x:row>
    <x:row r="121" ht="22" customHeight="1">
      <x:c r="A121" s="479" t="s">
        <x:v>196</x:v>
      </x:c>
      <x:c r="B121" s="415"/>
      <x:c r="C121" s="415"/>
      <x:c r="D121" s="415"/>
      <x:c r="E121" s="415"/>
      <x:c r="F121" s="415"/>
      <x:c r="G121" s="415"/>
      <x:c r="H121" s="415"/>
      <x:c r="I121" s="415"/>
      <x:c r="J121" s="415"/>
      <x:c r="K121" s="415" t="s">
        <x:v>39</x:v>
      </x:c>
      <x:c r="L121" s="415"/>
      <x:c r="M121" s="415"/>
      <x:c r="N121" s="415"/>
      <x:c r="O121" s="415"/>
      <x:c r="P121" s="415"/>
      <x:c r="Q121" s="415"/>
      <x:c r="R121" s="415"/>
      <x:c r="S121" s="415"/>
      <x:c r="T121" s="415"/>
      <x:c r="U121" s="415"/>
      <x:c r="V121" s="415"/>
      <x:c r="W121" s="415"/>
      <x:c r="X121" s="415"/>
      <x:c r="Y121" s="415"/>
      <x:c r="Z121" s="415"/>
      <x:c r="AA121" s="415"/>
      <x:c r="AB121" s="415"/>
      <x:c r="AC121" s="415"/>
      <x:c r="AD121" s="415"/>
      <x:c r="AE121" s="415"/>
      <x:c r="AF121" s="415"/>
      <x:c r="AG121" s="415"/>
      <x:c r="AH121" s="415"/>
      <x:c r="AI121" s="415"/>
      <x:c r="AJ121" s="415"/>
      <x:c r="AK121" s="415"/>
      <x:c r="AL121" s="415"/>
      <x:c r="AM121" s="415"/>
      <x:c r="AN121" s="415"/>
      <x:c r="AO121" s="415"/>
      <x:c r="AP121" s="415"/>
      <x:c r="AQ121" s="415"/>
      <x:c r="AR121" s="415"/>
      <x:c r="AS121" s="415"/>
    </x:row>
    <x:row r="122" ht="22" customHeight="1">
      <x:c r="A122" s="480" t="s">
        <x:v>27</x:v>
      </x:c>
      <x:c r="B122" s="383"/>
      <x:c r="C122" s="383"/>
      <x:c r="D122" s="383"/>
      <x:c r="E122" s="383"/>
      <x:c r="F122" s="383"/>
      <x:c r="G122" s="383"/>
      <x:c r="H122" s="383"/>
      <x:c r="I122" s="383"/>
      <x:c r="J122" s="383"/>
      <x:c r="K122" s="383" t="s">
        <x:v>29</x:v>
      </x:c>
      <x:c r="L122" s="383"/>
      <x:c r="M122" s="383"/>
      <x:c r="N122" s="383"/>
      <x:c r="O122" s="383"/>
      <x:c r="P122" s="383"/>
      <x:c r="Q122" s="383"/>
      <x:c r="R122" s="383"/>
      <x:c r="S122" s="383"/>
      <x:c r="T122" s="383"/>
      <x:c r="U122" s="383"/>
      <x:c r="V122" s="383"/>
      <x:c r="W122" s="383"/>
      <x:c r="X122" s="383"/>
      <x:c r="Y122" s="383"/>
      <x:c r="Z122" s="383"/>
      <x:c r="AA122" s="383"/>
      <x:c r="AB122" s="383"/>
      <x:c r="AC122" s="383"/>
      <x:c r="AD122" s="383"/>
      <x:c r="AE122" s="383"/>
      <x:c r="AF122" s="383"/>
      <x:c r="AG122" s="383"/>
      <x:c r="AH122" s="383"/>
      <x:c r="AI122" s="383"/>
      <x:c r="AJ122" s="383"/>
      <x:c r="AK122" s="383"/>
      <x:c r="AL122" s="383"/>
      <x:c r="AM122" s="383"/>
      <x:c r="AN122" s="383"/>
      <x:c r="AO122" s="383"/>
      <x:c r="AP122" s="383"/>
      <x:c r="AQ122" s="383"/>
      <x:c r="AR122" s="383"/>
      <x:c r="AS122" s="383"/>
    </x:row>
    <x:row r="123" ht="22" customHeight="1">
      <x:c r="A123" s="479" t="s">
        <x:v>29</x:v>
      </x:c>
      <x:c r="B123" s="415"/>
      <x:c r="C123" s="415"/>
      <x:c r="D123" s="415"/>
      <x:c r="E123" s="415"/>
      <x:c r="F123" s="415"/>
      <x:c r="G123" s="415"/>
      <x:c r="H123" s="415"/>
      <x:c r="I123" s="415"/>
      <x:c r="J123" s="415"/>
      <x:c r="K123" s="415" t="s">
        <x:v>17</x:v>
      </x:c>
      <x:c r="L123" s="415"/>
      <x:c r="M123" s="415"/>
      <x:c r="N123" s="415"/>
      <x:c r="O123" s="415"/>
      <x:c r="P123" s="415"/>
      <x:c r="Q123" s="415"/>
      <x:c r="R123" s="415"/>
      <x:c r="S123" s="415"/>
      <x:c r="T123" s="415"/>
      <x:c r="U123" s="415"/>
      <x:c r="V123" s="415"/>
      <x:c r="W123" s="415"/>
      <x:c r="X123" s="415"/>
      <x:c r="Y123" s="415"/>
      <x:c r="Z123" s="415"/>
      <x:c r="AA123" s="415"/>
      <x:c r="AB123" s="415"/>
      <x:c r="AC123" s="415"/>
      <x:c r="AD123" s="415"/>
      <x:c r="AE123" s="415"/>
      <x:c r="AF123" s="415"/>
      <x:c r="AG123" s="415"/>
      <x:c r="AH123" s="415"/>
      <x:c r="AI123" s="415"/>
      <x:c r="AJ123" s="415"/>
      <x:c r="AK123" s="415"/>
      <x:c r="AL123" s="415"/>
      <x:c r="AM123" s="415"/>
      <x:c r="AN123" s="415"/>
      <x:c r="AO123" s="415"/>
      <x:c r="AP123" s="415"/>
      <x:c r="AQ123" s="415"/>
      <x:c r="AR123" s="415"/>
      <x:c r="AS123" s="415"/>
    </x:row>
    <x:row r="124" ht="22" customHeight="1">
      <x:c r="A124" s="480" t="s">
        <x:v>31</x:v>
      </x:c>
      <x:c r="B124" s="383"/>
      <x:c r="C124" s="383"/>
      <x:c r="D124" s="383"/>
      <x:c r="E124" s="383"/>
      <x:c r="F124" s="383"/>
      <x:c r="G124" s="383"/>
      <x:c r="H124" s="383"/>
      <x:c r="I124" s="383"/>
      <x:c r="J124" s="383"/>
      <x:c r="K124" s="383" t="s">
        <x:v>41</x:v>
      </x:c>
      <x:c r="L124" s="383"/>
      <x:c r="M124" s="383"/>
      <x:c r="N124" s="383"/>
      <x:c r="O124" s="383"/>
      <x:c r="P124" s="383"/>
      <x:c r="Q124" s="383"/>
      <x:c r="R124" s="383"/>
      <x:c r="S124" s="383"/>
      <x:c r="T124" s="383"/>
      <x:c r="U124" s="383"/>
      <x:c r="V124" s="383"/>
      <x:c r="W124" s="383"/>
      <x:c r="X124" s="383"/>
      <x:c r="Y124" s="383"/>
      <x:c r="Z124" s="383"/>
      <x:c r="AA124" s="383"/>
      <x:c r="AB124" s="383"/>
      <x:c r="AC124" s="383"/>
      <x:c r="AD124" s="383"/>
      <x:c r="AE124" s="383"/>
      <x:c r="AF124" s="383"/>
      <x:c r="AG124" s="383"/>
      <x:c r="AH124" s="383"/>
      <x:c r="AI124" s="383"/>
      <x:c r="AJ124" s="383"/>
      <x:c r="AK124" s="383"/>
      <x:c r="AL124" s="383"/>
      <x:c r="AM124" s="383"/>
      <x:c r="AN124" s="383"/>
      <x:c r="AO124" s="383"/>
      <x:c r="AP124" s="383"/>
      <x:c r="AQ124" s="383"/>
      <x:c r="AR124" s="383"/>
      <x:c r="AS124" s="383"/>
    </x:row>
    <x:row r="125" ht="22" customHeight="1">
      <x:c r="A125" s="479" t="s">
        <x:v>33</x:v>
      </x:c>
      <x:c r="B125" s="415"/>
      <x:c r="C125" s="415"/>
      <x:c r="D125" s="415"/>
      <x:c r="E125" s="415"/>
      <x:c r="F125" s="415"/>
      <x:c r="G125" s="415"/>
      <x:c r="H125" s="415"/>
      <x:c r="I125" s="415"/>
      <x:c r="J125" s="415"/>
      <x:c r="K125" s="415" t="s">
        <x:v>27</x:v>
      </x:c>
      <x:c r="L125" s="415"/>
      <x:c r="M125" s="415"/>
      <x:c r="N125" s="415"/>
      <x:c r="O125" s="415"/>
      <x:c r="P125" s="415"/>
      <x:c r="Q125" s="415"/>
      <x:c r="R125" s="415"/>
      <x:c r="S125" s="415"/>
      <x:c r="T125" s="415"/>
      <x:c r="U125" s="415"/>
      <x:c r="V125" s="415"/>
      <x:c r="W125" s="415"/>
      <x:c r="X125" s="415"/>
      <x:c r="Y125" s="415"/>
      <x:c r="Z125" s="415"/>
      <x:c r="AA125" s="415"/>
      <x:c r="AB125" s="415"/>
      <x:c r="AC125" s="415"/>
      <x:c r="AD125" s="415"/>
      <x:c r="AE125" s="415"/>
      <x:c r="AF125" s="415"/>
      <x:c r="AG125" s="415"/>
      <x:c r="AH125" s="415"/>
      <x:c r="AI125" s="415"/>
      <x:c r="AJ125" s="415"/>
      <x:c r="AK125" s="415"/>
      <x:c r="AL125" s="415"/>
      <x:c r="AM125" s="415"/>
      <x:c r="AN125" s="415"/>
      <x:c r="AO125" s="415"/>
      <x:c r="AP125" s="415"/>
      <x:c r="AQ125" s="415"/>
      <x:c r="AR125" s="415"/>
      <x:c r="AS125" s="415"/>
    </x:row>
    <x:row r="126" ht="22" customHeight="1">
      <x:c r="A126" s="480" t="s">
        <x:v>35</x:v>
      </x:c>
      <x:c r="B126" s="383"/>
      <x:c r="C126" s="383"/>
      <x:c r="D126" s="383"/>
      <x:c r="E126" s="383"/>
      <x:c r="F126" s="383"/>
      <x:c r="G126" s="383"/>
      <x:c r="H126" s="383"/>
      <x:c r="I126" s="383"/>
      <x:c r="J126" s="383"/>
      <x:c r="K126" s="383" t="s">
        <x:v>19</x:v>
      </x:c>
      <x:c r="L126" s="383"/>
      <x:c r="M126" s="383"/>
      <x:c r="N126" s="383"/>
      <x:c r="O126" s="383"/>
      <x:c r="P126" s="383"/>
      <x:c r="Q126" s="383"/>
      <x:c r="R126" s="383"/>
      <x:c r="S126" s="383"/>
      <x:c r="T126" s="383"/>
      <x:c r="U126" s="383"/>
      <x:c r="V126" s="383"/>
      <x:c r="W126" s="383"/>
      <x:c r="X126" s="383"/>
      <x:c r="Y126" s="383"/>
      <x:c r="Z126" s="383"/>
      <x:c r="AA126" s="383"/>
      <x:c r="AB126" s="383"/>
      <x:c r="AC126" s="383"/>
      <x:c r="AD126" s="383"/>
      <x:c r="AE126" s="383"/>
      <x:c r="AF126" s="383"/>
      <x:c r="AG126" s="383"/>
      <x:c r="AH126" s="383"/>
      <x:c r="AI126" s="383"/>
      <x:c r="AJ126" s="383"/>
      <x:c r="AK126" s="383"/>
      <x:c r="AL126" s="383"/>
      <x:c r="AM126" s="383"/>
      <x:c r="AN126" s="383"/>
      <x:c r="AO126" s="383"/>
      <x:c r="AP126" s="383"/>
      <x:c r="AQ126" s="383"/>
      <x:c r="AR126" s="383"/>
      <x:c r="AS126" s="383"/>
    </x:row>
    <x:row r="127" ht="22" customHeight="1">
      <x:c r="A127" s="479" t="s">
        <x:v>37</x:v>
      </x:c>
      <x:c r="B127" s="415"/>
      <x:c r="C127" s="415"/>
      <x:c r="D127" s="415"/>
      <x:c r="E127" s="415"/>
      <x:c r="F127" s="415"/>
      <x:c r="G127" s="415"/>
      <x:c r="H127" s="415"/>
      <x:c r="I127" s="415"/>
      <x:c r="J127" s="415"/>
      <x:c r="K127" s="415" t="s">
        <x:v>31</x:v>
      </x:c>
      <x:c r="L127" s="415"/>
      <x:c r="M127" s="415"/>
      <x:c r="N127" s="415"/>
      <x:c r="O127" s="415"/>
      <x:c r="P127" s="415"/>
      <x:c r="Q127" s="415"/>
      <x:c r="R127" s="415"/>
      <x:c r="S127" s="415"/>
      <x:c r="T127" s="415"/>
      <x:c r="U127" s="415"/>
      <x:c r="V127" s="415"/>
      <x:c r="W127" s="415"/>
      <x:c r="X127" s="415"/>
      <x:c r="Y127" s="415"/>
      <x:c r="Z127" s="415"/>
      <x:c r="AA127" s="415"/>
      <x:c r="AB127" s="415"/>
      <x:c r="AC127" s="415"/>
      <x:c r="AD127" s="415"/>
      <x:c r="AE127" s="415"/>
      <x:c r="AF127" s="415"/>
      <x:c r="AG127" s="415"/>
      <x:c r="AH127" s="415"/>
      <x:c r="AI127" s="415"/>
      <x:c r="AJ127" s="415"/>
      <x:c r="AK127" s="415"/>
      <x:c r="AL127" s="415"/>
      <x:c r="AM127" s="415"/>
      <x:c r="AN127" s="415"/>
      <x:c r="AO127" s="415"/>
      <x:c r="AP127" s="415"/>
      <x:c r="AQ127" s="415"/>
      <x:c r="AR127" s="415"/>
      <x:c r="AS127" s="415"/>
    </x:row>
    <x:row r="128" ht="22" customHeight="1">
      <x:c r="A128" s="480" t="s">
        <x:v>39</x:v>
      </x:c>
      <x:c r="B128" s="383"/>
      <x:c r="C128" s="383"/>
      <x:c r="D128" s="383"/>
      <x:c r="E128" s="383"/>
      <x:c r="F128" s="383"/>
      <x:c r="G128" s="383"/>
      <x:c r="H128" s="383"/>
      <x:c r="I128" s="383"/>
      <x:c r="J128" s="383"/>
      <x:c r="K128" s="383" t="s">
        <x:v>53</x:v>
      </x:c>
      <x:c r="L128" s="383"/>
      <x:c r="M128" s="383"/>
      <x:c r="N128" s="383"/>
      <x:c r="O128" s="383"/>
      <x:c r="P128" s="383"/>
      <x:c r="Q128" s="383"/>
      <x:c r="R128" s="383"/>
      <x:c r="S128" s="383"/>
      <x:c r="T128" s="383"/>
      <x:c r="U128" s="383"/>
      <x:c r="V128" s="383"/>
      <x:c r="W128" s="383"/>
      <x:c r="X128" s="383"/>
      <x:c r="Y128" s="383"/>
      <x:c r="Z128" s="383"/>
      <x:c r="AA128" s="383"/>
      <x:c r="AB128" s="383"/>
      <x:c r="AC128" s="383"/>
      <x:c r="AD128" s="383"/>
      <x:c r="AE128" s="383"/>
      <x:c r="AF128" s="383"/>
      <x:c r="AG128" s="383"/>
      <x:c r="AH128" s="383"/>
      <x:c r="AI128" s="383"/>
      <x:c r="AJ128" s="383"/>
      <x:c r="AK128" s="383"/>
      <x:c r="AL128" s="383"/>
      <x:c r="AM128" s="383"/>
      <x:c r="AN128" s="383"/>
      <x:c r="AO128" s="383"/>
      <x:c r="AP128" s="383"/>
      <x:c r="AQ128" s="383"/>
      <x:c r="AR128" s="383"/>
      <x:c r="AS128" s="383"/>
    </x:row>
    <x:row r="129" ht="22" customHeight="1">
      <x:c r="A129" s="479" t="s">
        <x:v>41</x:v>
      </x:c>
      <x:c r="B129" s="415"/>
      <x:c r="C129" s="415"/>
      <x:c r="D129" s="415"/>
      <x:c r="E129" s="415"/>
      <x:c r="F129" s="415"/>
      <x:c r="G129" s="415"/>
      <x:c r="H129" s="415"/>
      <x:c r="I129" s="415"/>
      <x:c r="J129" s="415"/>
      <x:c r="K129" s="415" t="s">
        <x:v>49</x:v>
      </x:c>
      <x:c r="L129" s="415"/>
      <x:c r="M129" s="415"/>
      <x:c r="N129" s="415"/>
      <x:c r="O129" s="415"/>
      <x:c r="P129" s="415"/>
      <x:c r="Q129" s="415"/>
      <x:c r="R129" s="415"/>
      <x:c r="S129" s="415"/>
      <x:c r="T129" s="415"/>
      <x:c r="U129" s="415"/>
      <x:c r="V129" s="415"/>
      <x:c r="W129" s="415"/>
      <x:c r="X129" s="415"/>
      <x:c r="Y129" s="415"/>
      <x:c r="Z129" s="415"/>
      <x:c r="AA129" s="415"/>
      <x:c r="AB129" s="415"/>
      <x:c r="AC129" s="415"/>
      <x:c r="AD129" s="415"/>
      <x:c r="AE129" s="415"/>
      <x:c r="AF129" s="415"/>
      <x:c r="AG129" s="415"/>
      <x:c r="AH129" s="415"/>
      <x:c r="AI129" s="415"/>
      <x:c r="AJ129" s="415"/>
      <x:c r="AK129" s="415"/>
      <x:c r="AL129" s="415"/>
      <x:c r="AM129" s="415"/>
      <x:c r="AN129" s="415"/>
      <x:c r="AO129" s="415"/>
      <x:c r="AP129" s="415"/>
      <x:c r="AQ129" s="415"/>
      <x:c r="AR129" s="415"/>
      <x:c r="AS129" s="415"/>
    </x:row>
    <x:row r="130" ht="22" customHeight="1">
      <x:c r="A130" s="480" t="s">
        <x:v>43</x:v>
      </x:c>
      <x:c r="B130" s="383"/>
      <x:c r="C130" s="383"/>
      <x:c r="D130" s="383"/>
      <x:c r="E130" s="383"/>
      <x:c r="F130" s="383"/>
      <x:c r="G130" s="383"/>
      <x:c r="H130" s="383"/>
      <x:c r="I130" s="383"/>
      <x:c r="J130" s="383"/>
      <x:c r="K130" s="383" t="s">
        <x:v>33</x:v>
      </x:c>
      <x:c r="L130" s="383"/>
      <x:c r="M130" s="383"/>
      <x:c r="N130" s="383"/>
      <x:c r="O130" s="383"/>
      <x:c r="P130" s="383"/>
      <x:c r="Q130" s="383"/>
      <x:c r="R130" s="383"/>
      <x:c r="S130" s="383"/>
      <x:c r="T130" s="383"/>
      <x:c r="U130" s="383"/>
      <x:c r="V130" s="383"/>
      <x:c r="W130" s="383"/>
      <x:c r="X130" s="383"/>
      <x:c r="Y130" s="383"/>
      <x:c r="Z130" s="383"/>
      <x:c r="AA130" s="383"/>
      <x:c r="AB130" s="383"/>
      <x:c r="AC130" s="383"/>
      <x:c r="AD130" s="383"/>
      <x:c r="AE130" s="383"/>
      <x:c r="AF130" s="383"/>
      <x:c r="AG130" s="383"/>
      <x:c r="AH130" s="383"/>
      <x:c r="AI130" s="383"/>
      <x:c r="AJ130" s="383"/>
      <x:c r="AK130" s="383"/>
      <x:c r="AL130" s="383"/>
      <x:c r="AM130" s="383"/>
      <x:c r="AN130" s="383"/>
      <x:c r="AO130" s="383"/>
      <x:c r="AP130" s="383"/>
      <x:c r="AQ130" s="383"/>
      <x:c r="AR130" s="383"/>
      <x:c r="AS130" s="383"/>
    </x:row>
    <x:row r="131" ht="22" customHeight="1">
      <x:c r="A131" s="479" t="s">
        <x:v>45</x:v>
      </x:c>
      <x:c r="B131" s="415"/>
      <x:c r="C131" s="415"/>
      <x:c r="D131" s="415"/>
      <x:c r="E131" s="415"/>
      <x:c r="F131" s="415"/>
      <x:c r="G131" s="415"/>
      <x:c r="H131" s="415"/>
      <x:c r="I131" s="415"/>
      <x:c r="J131" s="415"/>
      <x:c r="K131" s="415" t="s">
        <x:v>47</x:v>
      </x:c>
      <x:c r="L131" s="415"/>
      <x:c r="M131" s="415"/>
      <x:c r="N131" s="415"/>
      <x:c r="O131" s="415"/>
      <x:c r="P131" s="415"/>
      <x:c r="Q131" s="415"/>
      <x:c r="R131" s="415"/>
      <x:c r="S131" s="415"/>
      <x:c r="T131" s="415"/>
      <x:c r="U131" s="415"/>
      <x:c r="V131" s="415"/>
      <x:c r="W131" s="415"/>
      <x:c r="X131" s="415"/>
      <x:c r="Y131" s="415"/>
      <x:c r="Z131" s="415"/>
      <x:c r="AA131" s="415"/>
      <x:c r="AB131" s="415"/>
      <x:c r="AC131" s="415"/>
      <x:c r="AD131" s="415"/>
      <x:c r="AE131" s="415"/>
      <x:c r="AF131" s="415"/>
      <x:c r="AG131" s="415"/>
      <x:c r="AH131" s="415"/>
      <x:c r="AI131" s="415"/>
      <x:c r="AJ131" s="415"/>
      <x:c r="AK131" s="415"/>
      <x:c r="AL131" s="415"/>
      <x:c r="AM131" s="415"/>
      <x:c r="AN131" s="415"/>
      <x:c r="AO131" s="415"/>
      <x:c r="AP131" s="415"/>
      <x:c r="AQ131" s="415"/>
      <x:c r="AR131" s="415"/>
      <x:c r="AS131" s="415"/>
    </x:row>
    <x:row r="132" ht="22" customHeight="1">
      <x:c r="A132" s="480" t="s">
        <x:v>47</x:v>
      </x:c>
      <x:c r="B132" s="383"/>
      <x:c r="C132" s="383"/>
      <x:c r="D132" s="383"/>
      <x:c r="E132" s="383"/>
      <x:c r="F132" s="383"/>
      <x:c r="G132" s="383"/>
      <x:c r="H132" s="383"/>
      <x:c r="I132" s="383"/>
      <x:c r="J132" s="383"/>
      <x:c r="K132" s="383" t="s">
        <x:v>21</x:v>
      </x:c>
      <x:c r="L132" s="383"/>
      <x:c r="M132" s="383"/>
      <x:c r="N132" s="383"/>
      <x:c r="O132" s="383"/>
      <x:c r="P132" s="383"/>
      <x:c r="Q132" s="383"/>
      <x:c r="R132" s="383"/>
      <x:c r="S132" s="383"/>
      <x:c r="T132" s="383"/>
      <x:c r="U132" s="383"/>
      <x:c r="V132" s="383"/>
      <x:c r="W132" s="383"/>
      <x:c r="X132" s="383"/>
      <x:c r="Y132" s="383"/>
      <x:c r="Z132" s="383"/>
      <x:c r="AA132" s="383"/>
      <x:c r="AB132" s="383"/>
      <x:c r="AC132" s="383"/>
      <x:c r="AD132" s="383"/>
      <x:c r="AE132" s="383"/>
      <x:c r="AF132" s="383"/>
      <x:c r="AG132" s="383"/>
      <x:c r="AH132" s="383"/>
      <x:c r="AI132" s="383"/>
      <x:c r="AJ132" s="383"/>
      <x:c r="AK132" s="383"/>
      <x:c r="AL132" s="383"/>
      <x:c r="AM132" s="383"/>
      <x:c r="AN132" s="383"/>
      <x:c r="AO132" s="383"/>
      <x:c r="AP132" s="383"/>
      <x:c r="AQ132" s="383"/>
      <x:c r="AR132" s="383"/>
      <x:c r="AS132" s="383"/>
    </x:row>
    <x:row r="133" ht="22" customHeight="1">
      <x:c r="A133" s="479" t="s">
        <x:v>49</x:v>
      </x:c>
      <x:c r="B133" s="415"/>
      <x:c r="C133" s="415"/>
      <x:c r="D133" s="415"/>
      <x:c r="E133" s="415"/>
      <x:c r="F133" s="415"/>
      <x:c r="G133" s="415"/>
      <x:c r="H133" s="415"/>
      <x:c r="I133" s="415"/>
      <x:c r="J133" s="415"/>
      <x:c r="K133" s="415" t="s">
        <x:v>37</x:v>
      </x:c>
      <x:c r="L133" s="415"/>
      <x:c r="M133" s="415"/>
      <x:c r="N133" s="415"/>
      <x:c r="O133" s="415"/>
      <x:c r="P133" s="415"/>
      <x:c r="Q133" s="415"/>
      <x:c r="R133" s="415"/>
      <x:c r="S133" s="415"/>
      <x:c r="T133" s="415"/>
      <x:c r="U133" s="415"/>
      <x:c r="V133" s="415"/>
      <x:c r="W133" s="415"/>
      <x:c r="X133" s="415"/>
      <x:c r="Y133" s="415"/>
      <x:c r="Z133" s="415"/>
      <x:c r="AA133" s="415"/>
      <x:c r="AB133" s="415"/>
      <x:c r="AC133" s="415"/>
      <x:c r="AD133" s="415"/>
      <x:c r="AE133" s="415"/>
      <x:c r="AF133" s="415"/>
      <x:c r="AG133" s="415"/>
      <x:c r="AH133" s="415"/>
      <x:c r="AI133" s="415"/>
      <x:c r="AJ133" s="415"/>
      <x:c r="AK133" s="415"/>
      <x:c r="AL133" s="415"/>
      <x:c r="AM133" s="415"/>
      <x:c r="AN133" s="415"/>
      <x:c r="AO133" s="415"/>
      <x:c r="AP133" s="415"/>
      <x:c r="AQ133" s="415"/>
      <x:c r="AR133" s="415"/>
      <x:c r="AS133" s="415"/>
    </x:row>
    <x:row r="134" ht="22" customHeight="1">
      <x:c r="A134" s="480" t="s">
        <x:v>51</x:v>
      </x:c>
      <x:c r="B134" s="383"/>
      <x:c r="C134" s="383"/>
      <x:c r="D134" s="383"/>
      <x:c r="E134" s="383"/>
      <x:c r="F134" s="383"/>
      <x:c r="G134" s="383"/>
      <x:c r="H134" s="383"/>
      <x:c r="I134" s="383"/>
      <x:c r="J134" s="383"/>
      <x:c r="K134" s="383" t="s">
        <x:v>45</x:v>
      </x:c>
      <x:c r="L134" s="383"/>
      <x:c r="M134" s="383"/>
      <x:c r="N134" s="383"/>
      <x:c r="O134" s="383"/>
      <x:c r="P134" s="383"/>
      <x:c r="Q134" s="383"/>
      <x:c r="R134" s="383"/>
      <x:c r="S134" s="383"/>
      <x:c r="T134" s="383"/>
      <x:c r="U134" s="383"/>
      <x:c r="V134" s="383"/>
      <x:c r="W134" s="383"/>
      <x:c r="X134" s="383"/>
      <x:c r="Y134" s="383"/>
      <x:c r="Z134" s="383"/>
      <x:c r="AA134" s="383"/>
      <x:c r="AB134" s="383"/>
      <x:c r="AC134" s="383"/>
      <x:c r="AD134" s="383"/>
      <x:c r="AE134" s="383"/>
      <x:c r="AF134" s="383"/>
      <x:c r="AG134" s="383"/>
      <x:c r="AH134" s="383"/>
      <x:c r="AI134" s="383"/>
      <x:c r="AJ134" s="383"/>
      <x:c r="AK134" s="383"/>
      <x:c r="AL134" s="383"/>
      <x:c r="AM134" s="383"/>
      <x:c r="AN134" s="383"/>
      <x:c r="AO134" s="383"/>
      <x:c r="AP134" s="383"/>
      <x:c r="AQ134" s="383"/>
      <x:c r="AR134" s="383"/>
      <x:c r="AS134" s="383"/>
    </x:row>
    <x:row r="135" ht="22" customHeight="1">
      <x:c r="A135" s="918" t="s">
        <x:v>53</x:v>
      </x:c>
      <x:c r="B135" s="475"/>
      <x:c r="C135" s="475"/>
      <x:c r="D135" s="475"/>
      <x:c r="E135" s="475"/>
      <x:c r="F135" s="475"/>
      <x:c r="G135" s="475"/>
      <x:c r="H135" s="475"/>
      <x:c r="I135" s="475"/>
      <x:c r="J135" s="475"/>
      <x:c r="K135" s="475" t="s">
        <x:v>196</x:v>
      </x:c>
      <x:c r="L135" s="475"/>
      <x:c r="M135" s="475"/>
      <x:c r="N135" s="475"/>
      <x:c r="O135" s="475"/>
      <x:c r="P135" s="475"/>
      <x:c r="Q135" s="475"/>
      <x:c r="R135" s="475"/>
      <x:c r="S135" s="475"/>
      <x:c r="T135" s="475"/>
      <x:c r="U135" s="475"/>
      <x:c r="V135" s="475"/>
      <x:c r="W135" s="475"/>
      <x:c r="X135" s="475"/>
      <x:c r="Y135" s="475"/>
      <x:c r="Z135" s="475"/>
      <x:c r="AA135" s="475"/>
      <x:c r="AB135" s="475"/>
      <x:c r="AC135" s="475"/>
      <x:c r="AD135" s="475"/>
      <x:c r="AE135" s="475"/>
      <x:c r="AF135" s="475"/>
      <x:c r="AG135" s="475"/>
      <x:c r="AH135" s="475"/>
      <x:c r="AI135" s="475"/>
      <x:c r="AJ135" s="475"/>
      <x:c r="AK135" s="475"/>
      <x:c r="AL135" s="475"/>
      <x:c r="AM135" s="475"/>
      <x:c r="AN135" s="475"/>
      <x:c r="AO135" s="475"/>
      <x:c r="AP135" s="475"/>
      <x:c r="AQ135" s="475"/>
      <x:c r="AR135" s="475"/>
      <x:c r="AS135" s="475"/>
    </x:row>
  </x:sheetData>
  <x:mergeCells>
    <x:mergeCell ref="M7:O7"/>
    <x:mergeCell ref="M8:O8"/>
    <x:mergeCell ref="M9:O9"/>
    <x:mergeCell ref="M10:O10"/>
    <x:mergeCell ref="S5:V5"/>
    <x:mergeCell ref="U4:V4"/>
    <x:mergeCell ref="S6:T6"/>
    <x:mergeCell ref="U6:V6"/>
    <x:mergeCell ref="U7:V7"/>
    <x:mergeCell ref="M4:O5"/>
    <x:mergeCell ref="U8:V8"/>
    <x:mergeCell ref="U9:V9"/>
    <x:mergeCell ref="U10:V10"/>
    <x:mergeCell ref="C8:D8"/>
    <x:mergeCell ref="C9:D9"/>
    <x:mergeCell ref="C10:D10"/>
    <x:mergeCell ref="C11:D11"/>
    <x:mergeCell ref="J24:L24"/>
    <x:mergeCell ref="M11:O11"/>
    <x:mergeCell ref="M12:O12"/>
    <x:mergeCell ref="M13:O13"/>
    <x:mergeCell ref="M6:O6"/>
    <x:mergeCell ref="M20:O20"/>
    <x:mergeCell ref="M21:O21"/>
    <x:mergeCell ref="M22:O22"/>
    <x:mergeCell ref="H4:I6"/>
    <x:mergeCell ref="J7:L7"/>
    <x:mergeCell ref="J8:L8"/>
    <x:mergeCell ref="J9:L9"/>
    <x:mergeCell ref="J10:L10"/>
    <x:mergeCell ref="J6:L6"/>
    <x:mergeCell ref="J20:L20"/>
    <x:mergeCell ref="M16:O16"/>
    <x:mergeCell ref="M17:O17"/>
    <x:mergeCell ref="M18:O18"/>
    <x:mergeCell ref="M19:O19"/>
    <x:mergeCell ref="J16:L16"/>
    <x:mergeCell ref="C54:D54"/>
    <x:mergeCell ref="J11:L11"/>
    <x:mergeCell ref="J12:L12"/>
    <x:mergeCell ref="J13:L13"/>
    <x:mergeCell ref="J14:L14"/>
    <x:mergeCell ref="J15:L15"/>
    <x:mergeCell ref="C12:D12"/>
    <x:mergeCell ref="M14:O14"/>
    <x:mergeCell ref="M15:O15"/>
    <x:mergeCell ref="M25:O25"/>
    <x:mergeCell ref="M26:O26"/>
    <x:mergeCell ref="M24:O24"/>
    <x:mergeCell ref="C25:D25"/>
    <x:mergeCell ref="C24:D24"/>
    <x:mergeCell ref="C13:D13"/>
    <x:mergeCell ref="C14:D14"/>
    <x:mergeCell ref="C15:D15"/>
    <x:mergeCell ref="C16:D16"/>
    <x:mergeCell ref="C17:D17"/>
    <x:mergeCell ref="C18:D18"/>
    <x:mergeCell ref="J17:L17"/>
    <x:mergeCell ref="J18:L18"/>
    <x:mergeCell ref="J19:L19"/>
    <x:mergeCell ref="B28:B29"/>
    <x:mergeCell ref="B3:V3"/>
    <x:mergeCell ref="Q28:R28"/>
    <x:mergeCell ref="C26:D26"/>
    <x:mergeCell ref="C4:D4"/>
    <x:mergeCell ref="C19:D19"/>
    <x:mergeCell ref="C20:D20"/>
    <x:mergeCell ref="C21:D21"/>
    <x:mergeCell ref="C22:D22"/>
    <x:mergeCell ref="C23:D23"/>
    <x:mergeCell ref="U21:V21"/>
    <x:mergeCell ref="U22:V22"/>
    <x:mergeCell ref="U23:V23"/>
    <x:mergeCell ref="J21:L21"/>
    <x:mergeCell ref="J22:L22"/>
    <x:mergeCell ref="J23:L23"/>
    <x:mergeCell ref="U20:V20"/>
    <x:mergeCell ref="U11:V11"/>
    <x:mergeCell ref="U12:V12"/>
    <x:mergeCell ref="U13:V13"/>
    <x:mergeCell ref="B5:D5"/>
    <x:mergeCell ref="J4:L5"/>
    <x:mergeCell ref="C6:D6"/>
    <x:mergeCell ref="C7:D7"/>
    <x:mergeCell ref="U14:V14"/>
    <x:mergeCell ref="U15:V15"/>
    <x:mergeCell ref="U16:V16"/>
    <x:mergeCell ref="U17:V17"/>
    <x:mergeCell ref="M28:N28"/>
    <x:mergeCell ref="O28:P28"/>
    <x:mergeCell ref="S28:T28"/>
    <x:mergeCell ref="U28:V28"/>
    <x:mergeCell ref="C28:D28"/>
    <x:mergeCell ref="E28:F28"/>
    <x:mergeCell ref="G28:H28"/>
    <x:mergeCell ref="I28:J28"/>
    <x:mergeCell ref="K28:L28"/>
    <x:mergeCell ref="U26:V26"/>
    <x:mergeCell ref="M23:O23"/>
    <x:mergeCell ref="J25:L25"/>
    <x:mergeCell ref="J26:L26"/>
    <x:mergeCell ref="U24:V24"/>
    <x:mergeCell ref="U25:V25"/>
    <x:mergeCell ref="U18:V18"/>
    <x:mergeCell ref="U19:V19"/>
  </x:mergeCells>
  <x:pageMargins left="0.7" right="0.7" top="0.75" bottom="0.75" header="0.3" footer="0.3"/>
</x:worksheet>
</file>